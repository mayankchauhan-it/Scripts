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SALES,STOCKS AND FORMATS\2023-24\JUNE 2023\STOCK STATMENT\MAHARASHTRA\A.S.DISTRIBUTORS\"/>
    </mc:Choice>
  </mc:AlternateContent>
  <bookViews>
    <workbookView xWindow="0" yWindow="0" windowWidth="15360" windowHeight="9900"/>
  </bookViews>
  <sheets>
    <sheet name="PWS_BIOSL" sheetId="1" r:id="rId1"/>
  </sheets>
  <definedNames>
    <definedName name="_xlnm._FilterDatabase" localSheetId="0" hidden="1">PWS_BIOSL!$A$8:$S$192</definedName>
  </definedNames>
  <calcPr calcId="152511"/>
</workbook>
</file>

<file path=xl/calcChain.xml><?xml version="1.0" encoding="utf-8"?>
<calcChain xmlns="http://schemas.openxmlformats.org/spreadsheetml/2006/main">
  <c r="S8" i="1" l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</calcChain>
</file>

<file path=xl/sharedStrings.xml><?xml version="1.0" encoding="utf-8"?>
<sst xmlns="http://schemas.openxmlformats.org/spreadsheetml/2006/main" count="1479" uniqueCount="145">
  <si>
    <t>ANAND HEALTH CARE</t>
  </si>
  <si>
    <t>KARVE NAGAR,SH.NO.1,OPP.SHRIRA</t>
  </si>
  <si>
    <t/>
  </si>
  <si>
    <t xml:space="preserve">  -   -</t>
  </si>
  <si>
    <t>LUWES LITE CREAM</t>
  </si>
  <si>
    <t>20 GM</t>
  </si>
  <si>
    <t>ANUSHREE MEDICAL &amp; GEN.STORES</t>
  </si>
  <si>
    <t>PASHAN,SUS ROAD,NEAR SHUBHTEG</t>
  </si>
  <si>
    <t>LOISTO FACE WASH</t>
  </si>
  <si>
    <t>70 GM</t>
  </si>
  <si>
    <t>ARNAV MEDICAL</t>
  </si>
  <si>
    <t>HADPASAR KALEPADAL</t>
  </si>
  <si>
    <t>UV CACHER GEL 30 GM</t>
  </si>
  <si>
    <t>30 GM</t>
  </si>
  <si>
    <t>ASHISH MEDI.&amp; GEN.STORES</t>
  </si>
  <si>
    <t>CHANDAN NAGAR PATHARE COMPLEX</t>
  </si>
  <si>
    <t>IOXI-30 TAB</t>
  </si>
  <si>
    <t>10 TAB</t>
  </si>
  <si>
    <t>BALAJI MEDICAL</t>
  </si>
  <si>
    <t>ANANDNAGAR,SUNCITY ROAD,</t>
  </si>
  <si>
    <t>BIOKET SHAMPOO</t>
  </si>
  <si>
    <t>75 ML</t>
  </si>
  <si>
    <t>BETTERLIFE CLINIC</t>
  </si>
  <si>
    <t>GHOLE-PATIL RD.OFF.NO.3,2ND FL</t>
  </si>
  <si>
    <t>F-WASH SHAMPOO</t>
  </si>
  <si>
    <t>100 ML</t>
  </si>
  <si>
    <t>BHAVANI MEDI.CHEMIST&amp;DRUGGIST</t>
  </si>
  <si>
    <t>WADGAON BK.,GANGA BHAGYODAY CO</t>
  </si>
  <si>
    <t>CHINTAMANI MEDICAL</t>
  </si>
  <si>
    <t>SHUKRAWAR-PETH,PUNE-02</t>
  </si>
  <si>
    <t>CHIRANTAN PHARMA</t>
  </si>
  <si>
    <t>AMBEGAON BK,KATRAJ,PUNE 46,</t>
  </si>
  <si>
    <t>ACNETRET-10 CAP.</t>
  </si>
  <si>
    <t>10 CAP</t>
  </si>
  <si>
    <t>CITYCARE PHARMACY LLP</t>
  </si>
  <si>
    <t>WADGAON BK.SUNCITY ROAD,SHIVPU</t>
  </si>
  <si>
    <t>DILIP MEDICALS</t>
  </si>
  <si>
    <t>DAUND</t>
  </si>
  <si>
    <t>ALVIZINE-10 TAB</t>
  </si>
  <si>
    <t>BEZELENE GEL 15 GM</t>
  </si>
  <si>
    <t>15 GM</t>
  </si>
  <si>
    <t>BIO-LIZOL CREAM 30 G</t>
  </si>
  <si>
    <t>F-TEX SOAP</t>
  </si>
  <si>
    <t>75 GM</t>
  </si>
  <si>
    <t>ZALOTER CREAM 30 GM</t>
  </si>
  <si>
    <t>CAPILLUS FORTE TAB</t>
  </si>
  <si>
    <t>GANESH MEDICALS</t>
  </si>
  <si>
    <t>1042,SHUKRAWAR PETH,TILAK ROAD</t>
  </si>
  <si>
    <t>BIOKET CREAM 50 GM</t>
  </si>
  <si>
    <t>50 GM</t>
  </si>
  <si>
    <t>GURUDATTA MEDICAL</t>
  </si>
  <si>
    <t>TEXGLOW GEL 20 GM</t>
  </si>
  <si>
    <t>HEALTH CARE MEDICO</t>
  </si>
  <si>
    <t>VISHRANTWADI,SHOP NO.6,PUNE 17</t>
  </si>
  <si>
    <t>K P SAFELIFE</t>
  </si>
  <si>
    <t>VIMANNAGAR NEAR DATTA MANDIR</t>
  </si>
  <si>
    <t>LUWES CREAM</t>
  </si>
  <si>
    <t>KISHOR CHEMIST AND SUPERSHOPEE</t>
  </si>
  <si>
    <t>MUNDWA,KESHAVNAGAR,LONKAR VAST</t>
  </si>
  <si>
    <t>LIFE CARE PHARMA</t>
  </si>
  <si>
    <t>KOTHRUD,SHESADRI APT.S.NO.121/</t>
  </si>
  <si>
    <t>MAHALAXMI MEDICAL GEN. STORES</t>
  </si>
  <si>
    <t>36,PARVATI PAYATHA POONA</t>
  </si>
  <si>
    <t>MAHALAXMI MEDICO</t>
  </si>
  <si>
    <t>46,A KHADKI,AUNDH ROAD</t>
  </si>
  <si>
    <t>BIO-ITRA 200 TAB</t>
  </si>
  <si>
    <t>MAHALAXMI MEDICO*GEN STORES</t>
  </si>
  <si>
    <t>CHANDANAGER,PUNE SHOP.47 MUNDH</t>
  </si>
  <si>
    <t>MAHESH MEDICAL CHEMIST &amp; DRUG.</t>
  </si>
  <si>
    <t>MUNURWAR-SCO.WADGAONSHRI CO.OP</t>
  </si>
  <si>
    <t>MARVEL CHEMIST &amp; LIFESTYLE</t>
  </si>
  <si>
    <t>KOREGAON GHORPADI SHOP NO.14</t>
  </si>
  <si>
    <t>MAXWELL CHEMIST</t>
  </si>
  <si>
    <t>NANDED CITY PUNE</t>
  </si>
  <si>
    <t>CAPILLUS TAB</t>
  </si>
  <si>
    <t>MAZIRE MEDICAL</t>
  </si>
  <si>
    <t>BHUGAON TAL-MULSHI DIST-PUNE</t>
  </si>
  <si>
    <t>ULIGO CREAM 50 GM</t>
  </si>
  <si>
    <t>MEDISKIN MEDICAL</t>
  </si>
  <si>
    <t>BARAMATI RING ROAD</t>
  </si>
  <si>
    <t>MIRA MEDICAL &amp; GENERAL STORES</t>
  </si>
  <si>
    <t>BIBVEWADI,SHOP NO.6,UNITY HG.</t>
  </si>
  <si>
    <t>NAVJEEVAN MEDI. &amp; GEM. STORES</t>
  </si>
  <si>
    <t>HADAPSAR, SAINAGR, SATAVWADI</t>
  </si>
  <si>
    <t>NEW GAYATRI MEDICAL</t>
  </si>
  <si>
    <t>BALAJI NAGAR,TMENT P</t>
  </si>
  <si>
    <t>OM MEDICAL</t>
  </si>
  <si>
    <t>KHADAKI NEW BAZAR SHOP.NO.3/30</t>
  </si>
  <si>
    <t>ACNETRET-20 CAP</t>
  </si>
  <si>
    <t>BIOZA 6 TAB</t>
  </si>
  <si>
    <t>PAVAN MEDICAL &amp; GEN.STORES</t>
  </si>
  <si>
    <t>SINHGAD ROAD,DHARI PHATA</t>
  </si>
  <si>
    <t>PAWAR MEDI &amp; GEN STORES</t>
  </si>
  <si>
    <t>SHIRWAL</t>
  </si>
  <si>
    <t>PHARMA DOST MEDICO</t>
  </si>
  <si>
    <t>HADAPSAR RAMTEKDI ROAD HISSA N</t>
  </si>
  <si>
    <t>PIONEER MEDICO</t>
  </si>
  <si>
    <t>B1,MITTAL COURT,478-RASTA PETH</t>
  </si>
  <si>
    <t>PLUS POINT CHEMIST</t>
  </si>
  <si>
    <t>BANER,NEAR ROHAM LEHER,PUNE 42</t>
  </si>
  <si>
    <t>POONAM MEDICALS</t>
  </si>
  <si>
    <t>WADGAON SHREI</t>
  </si>
  <si>
    <t>PRAGATI MEDICAL STORE</t>
  </si>
  <si>
    <t>KEDGAON</t>
  </si>
  <si>
    <t>RAHUL MEDICALS</t>
  </si>
  <si>
    <t>F.C.ROAD,PH.5652514</t>
  </si>
  <si>
    <t>RELAX MEDICAL</t>
  </si>
  <si>
    <t>AMBEGAON BK.,GIRIRAJ PARK,</t>
  </si>
  <si>
    <t>SAGAR MEDICAL</t>
  </si>
  <si>
    <t>RAYKAR MALA,DHAYRI,GURUGANGESH</t>
  </si>
  <si>
    <t>SAMRUDDHI GANESH MEDICALS</t>
  </si>
  <si>
    <t>BALAJINAGAR,NATH APARTMENT,DHA</t>
  </si>
  <si>
    <t>BIOKET SOAP</t>
  </si>
  <si>
    <t>ALVIZINE  5 MG</t>
  </si>
  <si>
    <t>10TAB</t>
  </si>
  <si>
    <t>SIDDHIVINAYAK MEDICALS</t>
  </si>
  <si>
    <t>BIOBIL TAB</t>
  </si>
  <si>
    <t>TAKE CARE MEDICAL</t>
  </si>
  <si>
    <t>LOHAGAON,URBAN HOMES GR FLOOR</t>
  </si>
  <si>
    <t>TANMAY MEDICAL &amp; GENERAL STORE</t>
  </si>
  <si>
    <t>BALAJINAGAR,S.NO.22,SHOP NO.3,</t>
  </si>
  <si>
    <t>THE PIONEER MEDICAL STORES</t>
  </si>
  <si>
    <t>389,J.M.ROAD,PH.5534810</t>
  </si>
  <si>
    <t>THE-YE THE MEDICINE MALL</t>
  </si>
  <si>
    <t>DHANORI,BESIDE GOODWILL SQUARE</t>
  </si>
  <si>
    <t>VENUS MEDICO CHEMIST &amp; DRUGGIS</t>
  </si>
  <si>
    <t>YERAWADA,</t>
  </si>
  <si>
    <t>VIDYANAGRI MEDICAL &amp; GEN.STORE</t>
  </si>
  <si>
    <t>MIDC CHOWK,BARAMATI,DIST-BARAM</t>
  </si>
  <si>
    <t>VIJAYA MEDICAL &amp; GEN.STORES</t>
  </si>
  <si>
    <t>GANESH NAGAR YERAWADA,</t>
  </si>
  <si>
    <t>WAGHESHWAR MEDICAL &amp; GEN.STORE</t>
  </si>
  <si>
    <t>DHANKAWADI,NIRMAL PARK,PUNE</t>
  </si>
  <si>
    <t>WELLNESS 365 CHEMIST &amp; LIFESTY</t>
  </si>
  <si>
    <t>DHANORI,PALLADIUM EXOTICA,SHOP</t>
  </si>
  <si>
    <t>WELLNESS MEDICARE</t>
  </si>
  <si>
    <t>DAUND,SAHAKAR CHOWK</t>
  </si>
  <si>
    <t>TOTAL</t>
  </si>
  <si>
    <t xml:space="preserve">A.S.DISTRIBUTORS                        </t>
  </si>
  <si>
    <t>SHOP.NO.5,UPPER GROUND FLOOR             From : 01/06/23</t>
  </si>
  <si>
    <t>JANAKI APPT.,H.NO.1315/3B,SADASHIV PETH, To : 31/03/24</t>
  </si>
  <si>
    <t>OPP.BHARATNATYA MANDIR,PUNE-411030.     Report Date : 30-Jun-2023</t>
  </si>
  <si>
    <t>PARTYWISE PRODUCT SALES SUMMARY</t>
  </si>
  <si>
    <t>Company : BIOS LAB.PVT.LTD.</t>
  </si>
  <si>
    <t>Area Name : ALL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</si>
</sst>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8A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2"/>
  <sheetViews>
    <sheetView tabSelected="1" workbookViewId="0">
      <pane ySplit="8" topLeftCell="A54" activePane="bottomLeft" state="frozen"/>
      <selection pane="bottomLeft" activeCell="K195" sqref="K195"/>
    </sheetView>
  </sheetViews>
  <sheetFormatPr defaultRowHeight="15" x14ac:dyDescent="0.25"/>
  <cols>
    <col min="1" max="1" width="35.5703125" bestFit="1" customWidth="1"/>
    <col min="2" max="2" width="38" bestFit="1" customWidth="1"/>
    <col min="3" max="4" width="7.85546875" bestFit="1" customWidth="1"/>
    <col min="5" max="5" width="9.5703125" bestFit="1" customWidth="1"/>
    <col min="6" max="6" width="21.7109375" bestFit="1" customWidth="1"/>
    <col min="7" max="7" width="7" bestFit="1" customWidth="1"/>
    <col min="8" max="8" width="5.140625" bestFit="1" customWidth="1"/>
    <col min="9" max="9" width="5.5703125" bestFit="1" customWidth="1"/>
    <col min="10" max="10" width="10.28515625" bestFit="1" customWidth="1"/>
    <col min="11" max="11" width="7.7109375" bestFit="1" customWidth="1"/>
    <col min="12" max="12" width="8.28515625" bestFit="1" customWidth="1"/>
    <col min="13" max="13" width="5.7109375" bestFit="1" customWidth="1"/>
    <col min="14" max="14" width="9.5703125" bestFit="1" customWidth="1"/>
    <col min="15" max="15" width="8.85546875" bestFit="1" customWidth="1"/>
    <col min="16" max="16" width="5.5703125" bestFit="1" customWidth="1"/>
    <col min="17" max="17" width="7" bestFit="1" customWidth="1"/>
    <col min="18" max="18" width="10" bestFit="1" customWidth="1"/>
    <col min="19" max="19" width="9.140625" bestFit="1" customWidth="1"/>
  </cols>
  <sheetData>
    <row r="1" spans="1:19" x14ac:dyDescent="0.25">
      <c r="A1" s="3" t="s">
        <v>138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x14ac:dyDescent="0.25">
      <c r="A2" s="3" t="s">
        <v>139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3" t="s">
        <v>140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25">
      <c r="A4" s="3" t="s">
        <v>141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x14ac:dyDescent="0.25">
      <c r="A5" s="2" t="s">
        <v>142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5">
      <c r="A6" s="2" t="s">
        <v>143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5">
      <c r="A7" s="2" t="s">
        <v>144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5">
      <c r="A8" s="1" t="str">
        <f>UPPER("party")</f>
        <v>PARTY</v>
      </c>
      <c r="B8" s="1" t="str">
        <f>UPPER("address")</f>
        <v>ADDRESS</v>
      </c>
      <c r="C8" s="1" t="str">
        <f>UPPER("billno")</f>
        <v>BILLNO</v>
      </c>
      <c r="D8" s="1" t="str">
        <f>UPPER("bltype")</f>
        <v>BLTYPE</v>
      </c>
      <c r="E8" s="1" t="str">
        <f>UPPER("billdate")</f>
        <v>BILLDATE</v>
      </c>
      <c r="F8" s="1" t="str">
        <f>UPPER("product")</f>
        <v>PRODUCT</v>
      </c>
      <c r="G8" s="1" t="str">
        <f>UPPER("pack")</f>
        <v>PACK</v>
      </c>
      <c r="H8" s="1" t="str">
        <f>UPPER("qty")</f>
        <v>QTY</v>
      </c>
      <c r="I8" s="1" t="str">
        <f>UPPER("scm")</f>
        <v>SCM</v>
      </c>
      <c r="J8" s="1" t="str">
        <f>UPPER("batchno")</f>
        <v>BATCHNO</v>
      </c>
      <c r="K8" s="1" t="str">
        <f>UPPER("expiry")</f>
        <v>EXPIRY</v>
      </c>
      <c r="L8" s="1" t="str">
        <f>UPPER("taxper")</f>
        <v>TAXPER</v>
      </c>
      <c r="M8" s="1" t="str">
        <f>UPPER("mrp")</f>
        <v>MRP</v>
      </c>
      <c r="N8" s="1" t="str">
        <f>UPPER("scmdisc")</f>
        <v>SCMDISC</v>
      </c>
      <c r="O8" s="1" t="str">
        <f>UPPER("discper")</f>
        <v>DISCPER</v>
      </c>
      <c r="P8" s="1" t="str">
        <f>UPPER("disc")</f>
        <v>DISC</v>
      </c>
      <c r="Q8" s="1" t="str">
        <f>UPPER("srate")</f>
        <v>SRATE</v>
      </c>
      <c r="R8" s="1" t="str">
        <f>UPPER("amount")</f>
        <v>AMOUNT</v>
      </c>
      <c r="S8" s="1" t="str">
        <f>UPPER("gstamt")</f>
        <v>GSTAMT</v>
      </c>
    </row>
    <row r="9" spans="1:19" x14ac:dyDescent="0.25">
      <c r="A9" t="s">
        <v>0</v>
      </c>
      <c r="B9" t="s">
        <v>1</v>
      </c>
      <c r="C9">
        <v>0</v>
      </c>
      <c r="D9" t="s">
        <v>2</v>
      </c>
      <c r="E9" t="s">
        <v>3</v>
      </c>
      <c r="F9" t="s">
        <v>2</v>
      </c>
      <c r="G9" t="s">
        <v>2</v>
      </c>
      <c r="H9">
        <v>0</v>
      </c>
      <c r="I9">
        <v>0</v>
      </c>
      <c r="J9" t="s">
        <v>2</v>
      </c>
      <c r="K9" t="s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2</v>
      </c>
      <c r="B10" t="s">
        <v>2</v>
      </c>
      <c r="C10">
        <v>0</v>
      </c>
      <c r="D10" t="s">
        <v>2</v>
      </c>
      <c r="E10" t="s">
        <v>3</v>
      </c>
      <c r="F10" t="s">
        <v>4</v>
      </c>
      <c r="G10" t="s">
        <v>5</v>
      </c>
      <c r="H10">
        <v>1</v>
      </c>
      <c r="I10">
        <v>0</v>
      </c>
      <c r="J10" t="s">
        <v>2</v>
      </c>
      <c r="K10" t="s">
        <v>2</v>
      </c>
      <c r="L10">
        <v>18</v>
      </c>
      <c r="M10">
        <v>0</v>
      </c>
      <c r="N10">
        <v>0</v>
      </c>
      <c r="O10">
        <v>0</v>
      </c>
      <c r="P10">
        <v>0</v>
      </c>
      <c r="Q10">
        <v>152.54</v>
      </c>
      <c r="R10">
        <v>152.54</v>
      </c>
      <c r="S10">
        <v>26.36</v>
      </c>
    </row>
    <row r="11" spans="1:19" x14ac:dyDescent="0.25">
      <c r="A11" t="s">
        <v>2</v>
      </c>
      <c r="B11" t="s">
        <v>2</v>
      </c>
      <c r="C11">
        <v>0</v>
      </c>
      <c r="D11" t="s">
        <v>2</v>
      </c>
      <c r="E11" t="s">
        <v>3</v>
      </c>
      <c r="F11" t="s">
        <v>2</v>
      </c>
      <c r="G11" t="s">
        <v>2</v>
      </c>
      <c r="H11">
        <v>1</v>
      </c>
      <c r="I11">
        <v>0</v>
      </c>
      <c r="J11" t="s">
        <v>2</v>
      </c>
      <c r="K11" t="s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152.54</v>
      </c>
      <c r="S11">
        <v>0</v>
      </c>
    </row>
    <row r="12" spans="1:19" x14ac:dyDescent="0.25">
      <c r="A12" t="s">
        <v>6</v>
      </c>
      <c r="B12" t="s">
        <v>7</v>
      </c>
      <c r="C12">
        <v>0</v>
      </c>
      <c r="D12" t="s">
        <v>2</v>
      </c>
      <c r="E12" t="s">
        <v>3</v>
      </c>
      <c r="F12" t="s">
        <v>2</v>
      </c>
      <c r="G12" t="s">
        <v>2</v>
      </c>
      <c r="H12">
        <v>0</v>
      </c>
      <c r="I12">
        <v>0</v>
      </c>
      <c r="J12" t="s">
        <v>2</v>
      </c>
      <c r="K12" t="s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2</v>
      </c>
      <c r="B13" t="s">
        <v>2</v>
      </c>
      <c r="C13">
        <v>0</v>
      </c>
      <c r="D13" t="s">
        <v>2</v>
      </c>
      <c r="E13" t="s">
        <v>3</v>
      </c>
      <c r="F13" t="s">
        <v>8</v>
      </c>
      <c r="G13" t="s">
        <v>9</v>
      </c>
      <c r="H13">
        <v>1</v>
      </c>
      <c r="I13">
        <v>0</v>
      </c>
      <c r="J13" t="s">
        <v>2</v>
      </c>
      <c r="K13" t="s">
        <v>2</v>
      </c>
      <c r="L13">
        <v>18</v>
      </c>
      <c r="M13">
        <v>0</v>
      </c>
      <c r="N13">
        <v>0</v>
      </c>
      <c r="O13">
        <v>0</v>
      </c>
      <c r="P13">
        <v>0</v>
      </c>
      <c r="Q13">
        <v>152.54</v>
      </c>
      <c r="R13">
        <v>152.54</v>
      </c>
      <c r="S13">
        <v>26.96</v>
      </c>
    </row>
    <row r="14" spans="1:19" x14ac:dyDescent="0.25">
      <c r="A14" t="s">
        <v>2</v>
      </c>
      <c r="B14" t="s">
        <v>2</v>
      </c>
      <c r="C14">
        <v>0</v>
      </c>
      <c r="D14" t="s">
        <v>2</v>
      </c>
      <c r="E14" t="s">
        <v>3</v>
      </c>
      <c r="F14" t="s">
        <v>2</v>
      </c>
      <c r="G14" t="s">
        <v>2</v>
      </c>
      <c r="H14">
        <v>1</v>
      </c>
      <c r="I14">
        <v>0</v>
      </c>
      <c r="J14" t="s">
        <v>2</v>
      </c>
      <c r="K14" t="s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152.54</v>
      </c>
      <c r="S14">
        <v>0</v>
      </c>
    </row>
    <row r="15" spans="1:19" x14ac:dyDescent="0.25">
      <c r="A15" t="s">
        <v>10</v>
      </c>
      <c r="B15" t="s">
        <v>11</v>
      </c>
      <c r="C15">
        <v>0</v>
      </c>
      <c r="D15" t="s">
        <v>2</v>
      </c>
      <c r="E15" t="s">
        <v>3</v>
      </c>
      <c r="F15" t="s">
        <v>2</v>
      </c>
      <c r="G15" t="s">
        <v>2</v>
      </c>
      <c r="H15">
        <v>0</v>
      </c>
      <c r="I15">
        <v>0</v>
      </c>
      <c r="J15" t="s">
        <v>2</v>
      </c>
      <c r="K15" t="s">
        <v>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2</v>
      </c>
      <c r="B16" t="s">
        <v>2</v>
      </c>
      <c r="C16">
        <v>0</v>
      </c>
      <c r="D16" t="s">
        <v>2</v>
      </c>
      <c r="E16" t="s">
        <v>3</v>
      </c>
      <c r="F16" t="s">
        <v>12</v>
      </c>
      <c r="G16" t="s">
        <v>13</v>
      </c>
      <c r="H16">
        <v>6</v>
      </c>
      <c r="I16">
        <v>0</v>
      </c>
      <c r="J16" t="s">
        <v>2</v>
      </c>
      <c r="K16" t="s">
        <v>2</v>
      </c>
      <c r="L16">
        <v>18</v>
      </c>
      <c r="M16">
        <v>0</v>
      </c>
      <c r="N16">
        <v>0</v>
      </c>
      <c r="O16">
        <v>0</v>
      </c>
      <c r="P16">
        <v>0</v>
      </c>
      <c r="Q16">
        <v>305.08</v>
      </c>
      <c r="R16">
        <v>1830.48</v>
      </c>
      <c r="S16">
        <v>320.7</v>
      </c>
    </row>
    <row r="17" spans="1:19" x14ac:dyDescent="0.25">
      <c r="A17" t="s">
        <v>2</v>
      </c>
      <c r="B17" t="s">
        <v>2</v>
      </c>
      <c r="C17">
        <v>0</v>
      </c>
      <c r="D17" t="s">
        <v>2</v>
      </c>
      <c r="E17" t="s">
        <v>3</v>
      </c>
      <c r="F17" t="s">
        <v>2</v>
      </c>
      <c r="G17" t="s">
        <v>2</v>
      </c>
      <c r="H17">
        <v>6</v>
      </c>
      <c r="I17">
        <v>0</v>
      </c>
      <c r="J17" t="s">
        <v>2</v>
      </c>
      <c r="K17" t="s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1830.48</v>
      </c>
      <c r="S17">
        <v>0</v>
      </c>
    </row>
    <row r="18" spans="1:19" x14ac:dyDescent="0.25">
      <c r="A18" t="s">
        <v>14</v>
      </c>
      <c r="B18" t="s">
        <v>15</v>
      </c>
      <c r="C18">
        <v>0</v>
      </c>
      <c r="D18" t="s">
        <v>2</v>
      </c>
      <c r="E18" t="s">
        <v>3</v>
      </c>
      <c r="F18" t="s">
        <v>2</v>
      </c>
      <c r="G18" t="s">
        <v>2</v>
      </c>
      <c r="H18">
        <v>0</v>
      </c>
      <c r="I18">
        <v>0</v>
      </c>
      <c r="J18" t="s">
        <v>2</v>
      </c>
      <c r="K18" t="s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2</v>
      </c>
      <c r="B19" t="s">
        <v>2</v>
      </c>
      <c r="C19">
        <v>0</v>
      </c>
      <c r="D19" t="s">
        <v>2</v>
      </c>
      <c r="E19" t="s">
        <v>3</v>
      </c>
      <c r="F19" t="s">
        <v>16</v>
      </c>
      <c r="G19" t="s">
        <v>17</v>
      </c>
      <c r="H19">
        <v>3</v>
      </c>
      <c r="I19">
        <v>0</v>
      </c>
      <c r="J19" t="s">
        <v>2</v>
      </c>
      <c r="K19" t="s">
        <v>2</v>
      </c>
      <c r="L19">
        <v>18</v>
      </c>
      <c r="M19">
        <v>0</v>
      </c>
      <c r="N19">
        <v>0</v>
      </c>
      <c r="O19">
        <v>0</v>
      </c>
      <c r="P19">
        <v>0</v>
      </c>
      <c r="Q19">
        <v>54.91</v>
      </c>
      <c r="R19">
        <v>164.73</v>
      </c>
      <c r="S19">
        <v>28.91</v>
      </c>
    </row>
    <row r="20" spans="1:19" x14ac:dyDescent="0.25">
      <c r="A20" t="s">
        <v>2</v>
      </c>
      <c r="B20" t="s">
        <v>2</v>
      </c>
      <c r="C20">
        <v>0</v>
      </c>
      <c r="D20" t="s">
        <v>2</v>
      </c>
      <c r="E20" t="s">
        <v>3</v>
      </c>
      <c r="F20" t="s">
        <v>2</v>
      </c>
      <c r="G20" t="s">
        <v>2</v>
      </c>
      <c r="H20">
        <v>3</v>
      </c>
      <c r="I20">
        <v>0</v>
      </c>
      <c r="J20" t="s">
        <v>2</v>
      </c>
      <c r="K20" t="s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164.73</v>
      </c>
      <c r="S20">
        <v>0</v>
      </c>
    </row>
    <row r="21" spans="1:19" x14ac:dyDescent="0.25">
      <c r="A21" t="s">
        <v>18</v>
      </c>
      <c r="B21" t="s">
        <v>19</v>
      </c>
      <c r="C21">
        <v>0</v>
      </c>
      <c r="D21" t="s">
        <v>2</v>
      </c>
      <c r="E21" t="s">
        <v>3</v>
      </c>
      <c r="F21" t="s">
        <v>2</v>
      </c>
      <c r="G21" t="s">
        <v>2</v>
      </c>
      <c r="H21">
        <v>0</v>
      </c>
      <c r="I21">
        <v>0</v>
      </c>
      <c r="J21" t="s">
        <v>2</v>
      </c>
      <c r="K21" t="s">
        <v>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2</v>
      </c>
      <c r="B22" t="s">
        <v>2</v>
      </c>
      <c r="C22">
        <v>0</v>
      </c>
      <c r="D22" t="s">
        <v>2</v>
      </c>
      <c r="E22" t="s">
        <v>3</v>
      </c>
      <c r="F22" t="s">
        <v>20</v>
      </c>
      <c r="G22" t="s">
        <v>21</v>
      </c>
      <c r="H22">
        <v>2</v>
      </c>
      <c r="I22">
        <v>0</v>
      </c>
      <c r="J22" t="s">
        <v>2</v>
      </c>
      <c r="K22" t="s">
        <v>2</v>
      </c>
      <c r="L22">
        <v>12</v>
      </c>
      <c r="M22">
        <v>0</v>
      </c>
      <c r="N22">
        <v>0</v>
      </c>
      <c r="O22">
        <v>0</v>
      </c>
      <c r="P22">
        <v>0</v>
      </c>
      <c r="Q22">
        <v>128.57</v>
      </c>
      <c r="R22">
        <v>257.14</v>
      </c>
      <c r="S22">
        <v>29.62</v>
      </c>
    </row>
    <row r="23" spans="1:19" x14ac:dyDescent="0.25">
      <c r="A23" t="s">
        <v>2</v>
      </c>
      <c r="B23" t="s">
        <v>2</v>
      </c>
      <c r="C23">
        <v>0</v>
      </c>
      <c r="D23" t="s">
        <v>2</v>
      </c>
      <c r="E23" t="s">
        <v>3</v>
      </c>
      <c r="F23" t="s">
        <v>2</v>
      </c>
      <c r="G23" t="s">
        <v>2</v>
      </c>
      <c r="H23">
        <v>2</v>
      </c>
      <c r="I23">
        <v>0</v>
      </c>
      <c r="J23" t="s">
        <v>2</v>
      </c>
      <c r="K23" t="s">
        <v>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257.14</v>
      </c>
      <c r="S23">
        <v>0</v>
      </c>
    </row>
    <row r="24" spans="1:19" x14ac:dyDescent="0.25">
      <c r="A24" t="s">
        <v>22</v>
      </c>
      <c r="B24" t="s">
        <v>23</v>
      </c>
      <c r="C24">
        <v>0</v>
      </c>
      <c r="D24" t="s">
        <v>2</v>
      </c>
      <c r="E24" t="s">
        <v>3</v>
      </c>
      <c r="F24" t="s">
        <v>2</v>
      </c>
      <c r="G24" t="s">
        <v>2</v>
      </c>
      <c r="H24">
        <v>0</v>
      </c>
      <c r="I24">
        <v>0</v>
      </c>
      <c r="J24" t="s">
        <v>2</v>
      </c>
      <c r="K24" t="s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 t="s">
        <v>2</v>
      </c>
      <c r="B25" t="s">
        <v>2</v>
      </c>
      <c r="C25">
        <v>0</v>
      </c>
      <c r="D25" t="s">
        <v>2</v>
      </c>
      <c r="E25" t="s">
        <v>3</v>
      </c>
      <c r="F25" t="s">
        <v>24</v>
      </c>
      <c r="G25" t="s">
        <v>25</v>
      </c>
      <c r="H25">
        <v>10</v>
      </c>
      <c r="I25" s="4">
        <v>2</v>
      </c>
      <c r="J25" t="s">
        <v>2</v>
      </c>
      <c r="K25" t="s">
        <v>2</v>
      </c>
      <c r="L25">
        <v>12</v>
      </c>
      <c r="M25">
        <v>0</v>
      </c>
      <c r="N25">
        <v>0</v>
      </c>
      <c r="O25">
        <v>0</v>
      </c>
      <c r="P25">
        <v>0</v>
      </c>
      <c r="Q25">
        <v>141.43</v>
      </c>
      <c r="R25">
        <v>1414.3</v>
      </c>
      <c r="S25">
        <v>164.62</v>
      </c>
    </row>
    <row r="26" spans="1:19" x14ac:dyDescent="0.25">
      <c r="A26" t="s">
        <v>2</v>
      </c>
      <c r="B26" t="s">
        <v>2</v>
      </c>
      <c r="C26">
        <v>0</v>
      </c>
      <c r="D26" t="s">
        <v>2</v>
      </c>
      <c r="E26" t="s">
        <v>3</v>
      </c>
      <c r="F26" t="s">
        <v>8</v>
      </c>
      <c r="G26" t="s">
        <v>9</v>
      </c>
      <c r="H26">
        <v>30</v>
      </c>
      <c r="I26" s="4">
        <v>6</v>
      </c>
      <c r="J26" t="s">
        <v>2</v>
      </c>
      <c r="K26" t="s">
        <v>2</v>
      </c>
      <c r="L26">
        <v>18</v>
      </c>
      <c r="M26">
        <v>0</v>
      </c>
      <c r="N26">
        <v>0</v>
      </c>
      <c r="O26">
        <v>0</v>
      </c>
      <c r="P26">
        <v>0</v>
      </c>
      <c r="Q26">
        <v>152.54</v>
      </c>
      <c r="R26">
        <v>4576.2</v>
      </c>
      <c r="S26">
        <v>799</v>
      </c>
    </row>
    <row r="27" spans="1:19" x14ac:dyDescent="0.25">
      <c r="A27" t="s">
        <v>2</v>
      </c>
      <c r="B27" t="s">
        <v>2</v>
      </c>
      <c r="C27">
        <v>0</v>
      </c>
      <c r="D27" t="s">
        <v>2</v>
      </c>
      <c r="E27" t="s">
        <v>3</v>
      </c>
      <c r="F27" t="s">
        <v>2</v>
      </c>
      <c r="G27" t="s">
        <v>2</v>
      </c>
      <c r="H27">
        <v>40</v>
      </c>
      <c r="I27">
        <v>8</v>
      </c>
      <c r="J27" t="s">
        <v>2</v>
      </c>
      <c r="K27" t="s">
        <v>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5990.5</v>
      </c>
      <c r="S27">
        <v>0</v>
      </c>
    </row>
    <row r="28" spans="1:19" x14ac:dyDescent="0.25">
      <c r="A28" t="s">
        <v>26</v>
      </c>
      <c r="B28" t="s">
        <v>27</v>
      </c>
      <c r="C28">
        <v>0</v>
      </c>
      <c r="D28" t="s">
        <v>2</v>
      </c>
      <c r="E28" t="s">
        <v>3</v>
      </c>
      <c r="F28" t="s">
        <v>2</v>
      </c>
      <c r="G28" t="s">
        <v>2</v>
      </c>
      <c r="H28">
        <v>0</v>
      </c>
      <c r="I28">
        <v>0</v>
      </c>
      <c r="J28" t="s">
        <v>2</v>
      </c>
      <c r="K28" t="s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25">
      <c r="A29" t="s">
        <v>2</v>
      </c>
      <c r="B29" t="s">
        <v>2</v>
      </c>
      <c r="C29">
        <v>0</v>
      </c>
      <c r="D29" t="s">
        <v>2</v>
      </c>
      <c r="E29" t="s">
        <v>3</v>
      </c>
      <c r="F29" t="s">
        <v>24</v>
      </c>
      <c r="G29" t="s">
        <v>25</v>
      </c>
      <c r="H29">
        <v>3</v>
      </c>
      <c r="I29">
        <v>0</v>
      </c>
      <c r="J29" t="s">
        <v>2</v>
      </c>
      <c r="K29" t="s">
        <v>2</v>
      </c>
      <c r="L29">
        <v>12</v>
      </c>
      <c r="M29">
        <v>0</v>
      </c>
      <c r="N29">
        <v>0</v>
      </c>
      <c r="O29">
        <v>0</v>
      </c>
      <c r="P29">
        <v>0</v>
      </c>
      <c r="Q29">
        <v>141.43</v>
      </c>
      <c r="R29">
        <v>424.29</v>
      </c>
      <c r="S29">
        <v>50.3</v>
      </c>
    </row>
    <row r="30" spans="1:19" x14ac:dyDescent="0.25">
      <c r="A30" t="s">
        <v>2</v>
      </c>
      <c r="B30" t="s">
        <v>2</v>
      </c>
      <c r="C30">
        <v>0</v>
      </c>
      <c r="D30" t="s">
        <v>2</v>
      </c>
      <c r="E30" t="s">
        <v>3</v>
      </c>
      <c r="F30" t="s">
        <v>2</v>
      </c>
      <c r="G30" t="s">
        <v>2</v>
      </c>
      <c r="H30">
        <v>3</v>
      </c>
      <c r="I30">
        <v>0</v>
      </c>
      <c r="J30" t="s">
        <v>2</v>
      </c>
      <c r="K30" t="s">
        <v>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424.29</v>
      </c>
      <c r="S30">
        <v>0</v>
      </c>
    </row>
    <row r="31" spans="1:19" x14ac:dyDescent="0.25">
      <c r="A31" t="s">
        <v>28</v>
      </c>
      <c r="B31" t="s">
        <v>29</v>
      </c>
      <c r="C31">
        <v>0</v>
      </c>
      <c r="D31" t="s">
        <v>2</v>
      </c>
      <c r="E31" t="s">
        <v>3</v>
      </c>
      <c r="F31" t="s">
        <v>2</v>
      </c>
      <c r="G31" t="s">
        <v>2</v>
      </c>
      <c r="H31">
        <v>0</v>
      </c>
      <c r="I31">
        <v>0</v>
      </c>
      <c r="J31" t="s">
        <v>2</v>
      </c>
      <c r="K31" t="s">
        <v>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25">
      <c r="A32" t="s">
        <v>2</v>
      </c>
      <c r="B32" t="s">
        <v>2</v>
      </c>
      <c r="C32">
        <v>0</v>
      </c>
      <c r="D32" t="s">
        <v>2</v>
      </c>
      <c r="E32" t="s">
        <v>3</v>
      </c>
      <c r="F32" t="s">
        <v>4</v>
      </c>
      <c r="G32" t="s">
        <v>5</v>
      </c>
      <c r="H32">
        <v>1</v>
      </c>
      <c r="I32">
        <v>0</v>
      </c>
      <c r="J32" t="s">
        <v>2</v>
      </c>
      <c r="K32" t="s">
        <v>2</v>
      </c>
      <c r="L32">
        <v>18</v>
      </c>
      <c r="M32">
        <v>0</v>
      </c>
      <c r="N32">
        <v>0</v>
      </c>
      <c r="O32">
        <v>0</v>
      </c>
      <c r="P32">
        <v>0</v>
      </c>
      <c r="Q32">
        <v>152.54</v>
      </c>
      <c r="R32">
        <v>152.54</v>
      </c>
      <c r="S32">
        <v>27.1</v>
      </c>
    </row>
    <row r="33" spans="1:19" x14ac:dyDescent="0.25">
      <c r="A33" t="s">
        <v>2</v>
      </c>
      <c r="B33" t="s">
        <v>2</v>
      </c>
      <c r="C33">
        <v>0</v>
      </c>
      <c r="D33" t="s">
        <v>2</v>
      </c>
      <c r="E33" t="s">
        <v>3</v>
      </c>
      <c r="F33" t="s">
        <v>2</v>
      </c>
      <c r="G33" t="s">
        <v>2</v>
      </c>
      <c r="H33">
        <v>1</v>
      </c>
      <c r="I33">
        <v>0</v>
      </c>
      <c r="J33" t="s">
        <v>2</v>
      </c>
      <c r="K33" t="s">
        <v>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152.54</v>
      </c>
      <c r="S33">
        <v>0</v>
      </c>
    </row>
    <row r="34" spans="1:19" x14ac:dyDescent="0.25">
      <c r="A34" t="s">
        <v>30</v>
      </c>
      <c r="B34" t="s">
        <v>31</v>
      </c>
      <c r="C34">
        <v>0</v>
      </c>
      <c r="D34" t="s">
        <v>2</v>
      </c>
      <c r="E34" t="s">
        <v>3</v>
      </c>
      <c r="F34" t="s">
        <v>2</v>
      </c>
      <c r="G34" t="s">
        <v>2</v>
      </c>
      <c r="H34">
        <v>0</v>
      </c>
      <c r="I34">
        <v>0</v>
      </c>
      <c r="J34" t="s">
        <v>2</v>
      </c>
      <c r="K34" t="s">
        <v>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 x14ac:dyDescent="0.25">
      <c r="A35" t="s">
        <v>2</v>
      </c>
      <c r="B35" t="s">
        <v>2</v>
      </c>
      <c r="C35">
        <v>0</v>
      </c>
      <c r="D35" t="s">
        <v>2</v>
      </c>
      <c r="E35" t="s">
        <v>3</v>
      </c>
      <c r="F35" t="s">
        <v>32</v>
      </c>
      <c r="G35" t="s">
        <v>33</v>
      </c>
      <c r="H35">
        <v>3</v>
      </c>
      <c r="I35">
        <v>0</v>
      </c>
      <c r="J35" t="s">
        <v>2</v>
      </c>
      <c r="K35" t="s">
        <v>2</v>
      </c>
      <c r="L35">
        <v>12</v>
      </c>
      <c r="M35">
        <v>0</v>
      </c>
      <c r="N35">
        <v>0</v>
      </c>
      <c r="O35">
        <v>0</v>
      </c>
      <c r="P35">
        <v>0</v>
      </c>
      <c r="Q35">
        <v>102.85</v>
      </c>
      <c r="R35">
        <v>308.55</v>
      </c>
      <c r="S35">
        <v>35.92</v>
      </c>
    </row>
    <row r="36" spans="1:19" x14ac:dyDescent="0.25">
      <c r="A36" t="s">
        <v>2</v>
      </c>
      <c r="B36" t="s">
        <v>2</v>
      </c>
      <c r="C36">
        <v>0</v>
      </c>
      <c r="D36" t="s">
        <v>2</v>
      </c>
      <c r="E36" t="s">
        <v>3</v>
      </c>
      <c r="F36" t="s">
        <v>2</v>
      </c>
      <c r="G36" t="s">
        <v>2</v>
      </c>
      <c r="H36">
        <v>3</v>
      </c>
      <c r="I36">
        <v>0</v>
      </c>
      <c r="J36" t="s">
        <v>2</v>
      </c>
      <c r="K36" t="s">
        <v>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308.55</v>
      </c>
      <c r="S36">
        <v>0</v>
      </c>
    </row>
    <row r="37" spans="1:19" x14ac:dyDescent="0.25">
      <c r="A37" t="s">
        <v>34</v>
      </c>
      <c r="B37" t="s">
        <v>35</v>
      </c>
      <c r="C37">
        <v>0</v>
      </c>
      <c r="D37" t="s">
        <v>2</v>
      </c>
      <c r="E37" t="s">
        <v>3</v>
      </c>
      <c r="F37" t="s">
        <v>2</v>
      </c>
      <c r="G37" t="s">
        <v>2</v>
      </c>
      <c r="H37">
        <v>0</v>
      </c>
      <c r="I37">
        <v>0</v>
      </c>
      <c r="J37" t="s">
        <v>2</v>
      </c>
      <c r="K37" t="s">
        <v>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25">
      <c r="A38" t="s">
        <v>2</v>
      </c>
      <c r="B38" t="s">
        <v>2</v>
      </c>
      <c r="C38">
        <v>0</v>
      </c>
      <c r="D38" t="s">
        <v>2</v>
      </c>
      <c r="E38" t="s">
        <v>3</v>
      </c>
      <c r="F38" t="s">
        <v>12</v>
      </c>
      <c r="G38" t="s">
        <v>13</v>
      </c>
      <c r="H38">
        <v>1</v>
      </c>
      <c r="I38">
        <v>0</v>
      </c>
      <c r="J38" t="s">
        <v>2</v>
      </c>
      <c r="K38" t="s">
        <v>2</v>
      </c>
      <c r="L38">
        <v>18</v>
      </c>
      <c r="M38">
        <v>0</v>
      </c>
      <c r="N38">
        <v>0</v>
      </c>
      <c r="O38">
        <v>0</v>
      </c>
      <c r="P38">
        <v>0</v>
      </c>
      <c r="Q38">
        <v>305.08</v>
      </c>
      <c r="R38">
        <v>305.08</v>
      </c>
      <c r="S38">
        <v>53.82</v>
      </c>
    </row>
    <row r="39" spans="1:19" x14ac:dyDescent="0.25">
      <c r="A39" t="s">
        <v>2</v>
      </c>
      <c r="B39" t="s">
        <v>2</v>
      </c>
      <c r="C39">
        <v>0</v>
      </c>
      <c r="D39" t="s">
        <v>2</v>
      </c>
      <c r="E39" t="s">
        <v>3</v>
      </c>
      <c r="F39" t="s">
        <v>2</v>
      </c>
      <c r="G39" t="s">
        <v>2</v>
      </c>
      <c r="H39">
        <v>1</v>
      </c>
      <c r="I39">
        <v>0</v>
      </c>
      <c r="J39" t="s">
        <v>2</v>
      </c>
      <c r="K39" t="s">
        <v>2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305.08</v>
      </c>
      <c r="S39">
        <v>0</v>
      </c>
    </row>
    <row r="40" spans="1:19" x14ac:dyDescent="0.25">
      <c r="A40" t="s">
        <v>36</v>
      </c>
      <c r="B40" t="s">
        <v>37</v>
      </c>
      <c r="C40">
        <v>0</v>
      </c>
      <c r="D40" t="s">
        <v>2</v>
      </c>
      <c r="E40" t="s">
        <v>3</v>
      </c>
      <c r="F40" t="s">
        <v>2</v>
      </c>
      <c r="G40" t="s">
        <v>2</v>
      </c>
      <c r="H40">
        <v>0</v>
      </c>
      <c r="I40">
        <v>0</v>
      </c>
      <c r="J40" t="s">
        <v>2</v>
      </c>
      <c r="K40" t="s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 t="s">
        <v>2</v>
      </c>
      <c r="B41" t="s">
        <v>2</v>
      </c>
      <c r="C41">
        <v>0</v>
      </c>
      <c r="D41" t="s">
        <v>2</v>
      </c>
      <c r="E41" t="s">
        <v>3</v>
      </c>
      <c r="F41" t="s">
        <v>38</v>
      </c>
      <c r="G41" t="s">
        <v>17</v>
      </c>
      <c r="H41">
        <v>3</v>
      </c>
      <c r="I41">
        <v>0</v>
      </c>
      <c r="J41" t="s">
        <v>2</v>
      </c>
      <c r="K41" t="s">
        <v>2</v>
      </c>
      <c r="L41">
        <v>12</v>
      </c>
      <c r="M41">
        <v>0</v>
      </c>
      <c r="N41">
        <v>0</v>
      </c>
      <c r="O41">
        <v>0</v>
      </c>
      <c r="P41">
        <v>0</v>
      </c>
      <c r="Q41">
        <v>42.42</v>
      </c>
      <c r="R41">
        <v>127.26</v>
      </c>
      <c r="S41">
        <v>14.81</v>
      </c>
    </row>
    <row r="42" spans="1:19" x14ac:dyDescent="0.25">
      <c r="A42" t="s">
        <v>2</v>
      </c>
      <c r="B42" t="s">
        <v>2</v>
      </c>
      <c r="C42">
        <v>0</v>
      </c>
      <c r="D42" t="s">
        <v>2</v>
      </c>
      <c r="E42" t="s">
        <v>3</v>
      </c>
      <c r="F42" t="s">
        <v>39</v>
      </c>
      <c r="G42" t="s">
        <v>40</v>
      </c>
      <c r="H42">
        <v>2</v>
      </c>
      <c r="I42">
        <v>0</v>
      </c>
      <c r="J42" t="s">
        <v>2</v>
      </c>
      <c r="K42" t="s">
        <v>2</v>
      </c>
      <c r="L42">
        <v>12</v>
      </c>
      <c r="M42">
        <v>0</v>
      </c>
      <c r="N42">
        <v>0</v>
      </c>
      <c r="O42">
        <v>0</v>
      </c>
      <c r="P42">
        <v>0</v>
      </c>
      <c r="Q42">
        <v>192.86</v>
      </c>
      <c r="R42">
        <v>385.72</v>
      </c>
      <c r="S42">
        <v>44.9</v>
      </c>
    </row>
    <row r="43" spans="1:19" x14ac:dyDescent="0.25">
      <c r="A43" t="s">
        <v>2</v>
      </c>
      <c r="B43" t="s">
        <v>2</v>
      </c>
      <c r="C43">
        <v>0</v>
      </c>
      <c r="D43" t="s">
        <v>2</v>
      </c>
      <c r="E43" t="s">
        <v>3</v>
      </c>
      <c r="F43" t="s">
        <v>41</v>
      </c>
      <c r="G43" t="s">
        <v>13</v>
      </c>
      <c r="H43">
        <v>3</v>
      </c>
      <c r="I43">
        <v>0</v>
      </c>
      <c r="J43" t="s">
        <v>2</v>
      </c>
      <c r="K43" t="s">
        <v>2</v>
      </c>
      <c r="L43">
        <v>12</v>
      </c>
      <c r="M43">
        <v>0</v>
      </c>
      <c r="N43">
        <v>0</v>
      </c>
      <c r="O43">
        <v>0</v>
      </c>
      <c r="P43">
        <v>0</v>
      </c>
      <c r="Q43">
        <v>102.85</v>
      </c>
      <c r="R43">
        <v>308.55</v>
      </c>
      <c r="S43">
        <v>35.92</v>
      </c>
    </row>
    <row r="44" spans="1:19" x14ac:dyDescent="0.25">
      <c r="A44" t="s">
        <v>2</v>
      </c>
      <c r="B44" t="s">
        <v>2</v>
      </c>
      <c r="C44">
        <v>0</v>
      </c>
      <c r="D44" t="s">
        <v>2</v>
      </c>
      <c r="E44" t="s">
        <v>3</v>
      </c>
      <c r="F44" t="s">
        <v>42</v>
      </c>
      <c r="G44" t="s">
        <v>43</v>
      </c>
      <c r="H44">
        <v>1</v>
      </c>
      <c r="I44">
        <v>0</v>
      </c>
      <c r="J44" t="s">
        <v>2</v>
      </c>
      <c r="K44" t="s">
        <v>2</v>
      </c>
      <c r="L44">
        <v>18</v>
      </c>
      <c r="M44">
        <v>0</v>
      </c>
      <c r="N44">
        <v>0</v>
      </c>
      <c r="O44">
        <v>0</v>
      </c>
      <c r="P44">
        <v>0</v>
      </c>
      <c r="Q44">
        <v>67.11</v>
      </c>
      <c r="R44">
        <v>67.11</v>
      </c>
      <c r="S44">
        <v>11.84</v>
      </c>
    </row>
    <row r="45" spans="1:19" x14ac:dyDescent="0.25">
      <c r="A45" t="s">
        <v>2</v>
      </c>
      <c r="B45" t="s">
        <v>2</v>
      </c>
      <c r="C45">
        <v>0</v>
      </c>
      <c r="D45" t="s">
        <v>2</v>
      </c>
      <c r="E45" t="s">
        <v>3</v>
      </c>
      <c r="F45" t="s">
        <v>8</v>
      </c>
      <c r="G45" t="s">
        <v>9</v>
      </c>
      <c r="H45">
        <v>1</v>
      </c>
      <c r="I45">
        <v>0</v>
      </c>
      <c r="J45" t="s">
        <v>2</v>
      </c>
      <c r="K45" t="s">
        <v>2</v>
      </c>
      <c r="L45">
        <v>18</v>
      </c>
      <c r="M45">
        <v>0</v>
      </c>
      <c r="N45">
        <v>0</v>
      </c>
      <c r="O45">
        <v>0</v>
      </c>
      <c r="P45">
        <v>0</v>
      </c>
      <c r="Q45">
        <v>152.54</v>
      </c>
      <c r="R45">
        <v>152.54</v>
      </c>
      <c r="S45">
        <v>26.63</v>
      </c>
    </row>
    <row r="46" spans="1:19" x14ac:dyDescent="0.25">
      <c r="A46" t="s">
        <v>2</v>
      </c>
      <c r="B46" t="s">
        <v>2</v>
      </c>
      <c r="C46">
        <v>0</v>
      </c>
      <c r="D46" t="s">
        <v>2</v>
      </c>
      <c r="E46" t="s">
        <v>3</v>
      </c>
      <c r="F46" t="s">
        <v>12</v>
      </c>
      <c r="G46" t="s">
        <v>13</v>
      </c>
      <c r="H46">
        <v>1</v>
      </c>
      <c r="I46">
        <v>0</v>
      </c>
      <c r="J46" t="s">
        <v>2</v>
      </c>
      <c r="K46" t="s">
        <v>2</v>
      </c>
      <c r="L46">
        <v>18</v>
      </c>
      <c r="M46">
        <v>0</v>
      </c>
      <c r="N46">
        <v>0</v>
      </c>
      <c r="O46">
        <v>0</v>
      </c>
      <c r="P46">
        <v>0</v>
      </c>
      <c r="Q46">
        <v>305.08</v>
      </c>
      <c r="R46">
        <v>305.08</v>
      </c>
      <c r="S46">
        <v>53.27</v>
      </c>
    </row>
    <row r="47" spans="1:19" x14ac:dyDescent="0.25">
      <c r="A47" t="s">
        <v>2</v>
      </c>
      <c r="B47" t="s">
        <v>2</v>
      </c>
      <c r="C47">
        <v>0</v>
      </c>
      <c r="D47" t="s">
        <v>2</v>
      </c>
      <c r="E47" t="s">
        <v>3</v>
      </c>
      <c r="F47" t="s">
        <v>44</v>
      </c>
      <c r="G47" t="s">
        <v>13</v>
      </c>
      <c r="H47">
        <v>3</v>
      </c>
      <c r="I47">
        <v>0</v>
      </c>
      <c r="J47" t="s">
        <v>2</v>
      </c>
      <c r="K47" t="s">
        <v>2</v>
      </c>
      <c r="L47">
        <v>12</v>
      </c>
      <c r="M47">
        <v>0</v>
      </c>
      <c r="N47">
        <v>0</v>
      </c>
      <c r="O47">
        <v>0</v>
      </c>
      <c r="P47">
        <v>0</v>
      </c>
      <c r="Q47">
        <v>160.71</v>
      </c>
      <c r="R47">
        <v>482.13</v>
      </c>
      <c r="S47">
        <v>56.12</v>
      </c>
    </row>
    <row r="48" spans="1:19" x14ac:dyDescent="0.25">
      <c r="A48" t="s">
        <v>2</v>
      </c>
      <c r="B48" t="s">
        <v>2</v>
      </c>
      <c r="C48">
        <v>0</v>
      </c>
      <c r="D48" t="s">
        <v>2</v>
      </c>
      <c r="E48" t="s">
        <v>3</v>
      </c>
      <c r="F48" t="s">
        <v>45</v>
      </c>
      <c r="G48" t="s">
        <v>17</v>
      </c>
      <c r="H48">
        <v>2</v>
      </c>
      <c r="I48">
        <v>0</v>
      </c>
      <c r="J48" t="s">
        <v>2</v>
      </c>
      <c r="K48" t="s">
        <v>2</v>
      </c>
      <c r="L48">
        <v>18</v>
      </c>
      <c r="M48">
        <v>0</v>
      </c>
      <c r="N48">
        <v>0</v>
      </c>
      <c r="O48">
        <v>0</v>
      </c>
      <c r="P48">
        <v>0</v>
      </c>
      <c r="Q48">
        <v>134.22999999999999</v>
      </c>
      <c r="R48">
        <v>268.45999999999998</v>
      </c>
      <c r="S48">
        <v>46.87</v>
      </c>
    </row>
    <row r="49" spans="1:19" x14ac:dyDescent="0.25">
      <c r="A49" t="s">
        <v>2</v>
      </c>
      <c r="B49" t="s">
        <v>2</v>
      </c>
      <c r="C49">
        <v>0</v>
      </c>
      <c r="D49" t="s">
        <v>2</v>
      </c>
      <c r="E49" t="s">
        <v>3</v>
      </c>
      <c r="F49" t="s">
        <v>2</v>
      </c>
      <c r="G49" t="s">
        <v>2</v>
      </c>
      <c r="H49">
        <v>16</v>
      </c>
      <c r="I49">
        <v>0</v>
      </c>
      <c r="J49" t="s">
        <v>2</v>
      </c>
      <c r="K49" t="s">
        <v>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2096.85</v>
      </c>
      <c r="S49">
        <v>0</v>
      </c>
    </row>
    <row r="50" spans="1:19" x14ac:dyDescent="0.25">
      <c r="A50" t="s">
        <v>46</v>
      </c>
      <c r="B50" t="s">
        <v>47</v>
      </c>
      <c r="C50">
        <v>0</v>
      </c>
      <c r="D50" t="s">
        <v>2</v>
      </c>
      <c r="E50" t="s">
        <v>3</v>
      </c>
      <c r="F50" t="s">
        <v>2</v>
      </c>
      <c r="G50" t="s">
        <v>2</v>
      </c>
      <c r="H50">
        <v>0</v>
      </c>
      <c r="I50">
        <v>0</v>
      </c>
      <c r="J50" t="s">
        <v>2</v>
      </c>
      <c r="K50" t="s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25">
      <c r="A51" t="s">
        <v>2</v>
      </c>
      <c r="B51" t="s">
        <v>2</v>
      </c>
      <c r="C51">
        <v>0</v>
      </c>
      <c r="D51" t="s">
        <v>2</v>
      </c>
      <c r="E51" t="s">
        <v>3</v>
      </c>
      <c r="F51" t="s">
        <v>48</v>
      </c>
      <c r="G51" t="s">
        <v>49</v>
      </c>
      <c r="H51">
        <v>1</v>
      </c>
      <c r="I51">
        <v>0</v>
      </c>
      <c r="J51" t="s">
        <v>2</v>
      </c>
      <c r="K51" t="s">
        <v>2</v>
      </c>
      <c r="L51">
        <v>12</v>
      </c>
      <c r="M51">
        <v>0</v>
      </c>
      <c r="N51">
        <v>0</v>
      </c>
      <c r="O51">
        <v>0</v>
      </c>
      <c r="P51">
        <v>0</v>
      </c>
      <c r="Q51">
        <v>90</v>
      </c>
      <c r="R51">
        <v>90</v>
      </c>
      <c r="S51">
        <v>10.8</v>
      </c>
    </row>
    <row r="52" spans="1:19" x14ac:dyDescent="0.25">
      <c r="A52" t="s">
        <v>2</v>
      </c>
      <c r="B52" t="s">
        <v>2</v>
      </c>
      <c r="C52">
        <v>0</v>
      </c>
      <c r="D52" t="s">
        <v>2</v>
      </c>
      <c r="E52" t="s">
        <v>3</v>
      </c>
      <c r="F52" t="s">
        <v>2</v>
      </c>
      <c r="G52" t="s">
        <v>2</v>
      </c>
      <c r="H52">
        <v>1</v>
      </c>
      <c r="I52">
        <v>0</v>
      </c>
      <c r="J52" t="s">
        <v>2</v>
      </c>
      <c r="K52" t="s">
        <v>2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90</v>
      </c>
      <c r="S52">
        <v>0</v>
      </c>
    </row>
    <row r="53" spans="1:19" x14ac:dyDescent="0.25">
      <c r="A53" t="s">
        <v>50</v>
      </c>
      <c r="B53" t="s">
        <v>37</v>
      </c>
      <c r="C53">
        <v>0</v>
      </c>
      <c r="D53" t="s">
        <v>2</v>
      </c>
      <c r="E53" t="s">
        <v>3</v>
      </c>
      <c r="F53" t="s">
        <v>2</v>
      </c>
      <c r="G53" t="s">
        <v>2</v>
      </c>
      <c r="H53">
        <v>0</v>
      </c>
      <c r="I53">
        <v>0</v>
      </c>
      <c r="J53" t="s">
        <v>2</v>
      </c>
      <c r="K53" t="s">
        <v>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25">
      <c r="A54" t="s">
        <v>2</v>
      </c>
      <c r="B54" t="s">
        <v>2</v>
      </c>
      <c r="C54">
        <v>0</v>
      </c>
      <c r="D54" t="s">
        <v>2</v>
      </c>
      <c r="E54" t="s">
        <v>3</v>
      </c>
      <c r="F54" t="s">
        <v>39</v>
      </c>
      <c r="G54" t="s">
        <v>40</v>
      </c>
      <c r="H54">
        <v>1</v>
      </c>
      <c r="I54">
        <v>0</v>
      </c>
      <c r="J54" t="s">
        <v>2</v>
      </c>
      <c r="K54" t="s">
        <v>2</v>
      </c>
      <c r="L54">
        <v>12</v>
      </c>
      <c r="M54">
        <v>0</v>
      </c>
      <c r="N54">
        <v>0</v>
      </c>
      <c r="O54">
        <v>0</v>
      </c>
      <c r="P54">
        <v>0</v>
      </c>
      <c r="Q54">
        <v>192.86</v>
      </c>
      <c r="R54">
        <v>192.86</v>
      </c>
      <c r="S54">
        <v>22.68</v>
      </c>
    </row>
    <row r="55" spans="1:19" x14ac:dyDescent="0.25">
      <c r="A55" t="s">
        <v>2</v>
      </c>
      <c r="B55" t="s">
        <v>2</v>
      </c>
      <c r="C55">
        <v>0</v>
      </c>
      <c r="D55" t="s">
        <v>2</v>
      </c>
      <c r="E55" t="s">
        <v>3</v>
      </c>
      <c r="F55" t="s">
        <v>8</v>
      </c>
      <c r="G55" t="s">
        <v>9</v>
      </c>
      <c r="H55">
        <v>1</v>
      </c>
      <c r="I55">
        <v>0</v>
      </c>
      <c r="J55" t="s">
        <v>2</v>
      </c>
      <c r="K55" t="s">
        <v>2</v>
      </c>
      <c r="L55">
        <v>18</v>
      </c>
      <c r="M55">
        <v>0</v>
      </c>
      <c r="N55">
        <v>0</v>
      </c>
      <c r="O55">
        <v>0</v>
      </c>
      <c r="P55">
        <v>0</v>
      </c>
      <c r="Q55">
        <v>152.54</v>
      </c>
      <c r="R55">
        <v>152.54</v>
      </c>
      <c r="S55">
        <v>26.91</v>
      </c>
    </row>
    <row r="56" spans="1:19" x14ac:dyDescent="0.25">
      <c r="A56" t="s">
        <v>2</v>
      </c>
      <c r="B56" t="s">
        <v>2</v>
      </c>
      <c r="C56">
        <v>0</v>
      </c>
      <c r="D56" t="s">
        <v>2</v>
      </c>
      <c r="E56" t="s">
        <v>3</v>
      </c>
      <c r="F56" t="s">
        <v>51</v>
      </c>
      <c r="G56" t="s">
        <v>5</v>
      </c>
      <c r="H56">
        <v>1</v>
      </c>
      <c r="I56">
        <v>0</v>
      </c>
      <c r="J56" t="s">
        <v>2</v>
      </c>
      <c r="K56" t="s">
        <v>2</v>
      </c>
      <c r="L56">
        <v>12</v>
      </c>
      <c r="M56">
        <v>0</v>
      </c>
      <c r="N56">
        <v>0</v>
      </c>
      <c r="O56">
        <v>0</v>
      </c>
      <c r="P56">
        <v>0</v>
      </c>
      <c r="Q56">
        <v>96.42</v>
      </c>
      <c r="R56">
        <v>96.42</v>
      </c>
      <c r="S56">
        <v>11.34</v>
      </c>
    </row>
    <row r="57" spans="1:19" x14ac:dyDescent="0.25">
      <c r="A57" t="s">
        <v>2</v>
      </c>
      <c r="B57" t="s">
        <v>2</v>
      </c>
      <c r="C57">
        <v>0</v>
      </c>
      <c r="D57" t="s">
        <v>2</v>
      </c>
      <c r="E57" t="s">
        <v>3</v>
      </c>
      <c r="F57" t="s">
        <v>2</v>
      </c>
      <c r="G57" t="s">
        <v>2</v>
      </c>
      <c r="H57">
        <v>3</v>
      </c>
      <c r="I57">
        <v>0</v>
      </c>
      <c r="J57" t="s">
        <v>2</v>
      </c>
      <c r="K57" t="s">
        <v>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441.82</v>
      </c>
      <c r="S57">
        <v>0</v>
      </c>
    </row>
    <row r="58" spans="1:19" x14ac:dyDescent="0.25">
      <c r="A58" t="s">
        <v>52</v>
      </c>
      <c r="B58" t="s">
        <v>53</v>
      </c>
      <c r="C58">
        <v>0</v>
      </c>
      <c r="D58" t="s">
        <v>2</v>
      </c>
      <c r="E58" t="s">
        <v>3</v>
      </c>
      <c r="F58" t="s">
        <v>2</v>
      </c>
      <c r="G58" t="s">
        <v>2</v>
      </c>
      <c r="H58">
        <v>0</v>
      </c>
      <c r="I58">
        <v>0</v>
      </c>
      <c r="J58" t="s">
        <v>2</v>
      </c>
      <c r="K58" t="s">
        <v>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25">
      <c r="A59" t="s">
        <v>2</v>
      </c>
      <c r="B59" t="s">
        <v>2</v>
      </c>
      <c r="C59">
        <v>0</v>
      </c>
      <c r="D59" t="s">
        <v>2</v>
      </c>
      <c r="E59" t="s">
        <v>3</v>
      </c>
      <c r="F59" t="s">
        <v>4</v>
      </c>
      <c r="G59" t="s">
        <v>5</v>
      </c>
      <c r="H59">
        <v>2</v>
      </c>
      <c r="I59">
        <v>0</v>
      </c>
      <c r="J59" t="s">
        <v>2</v>
      </c>
      <c r="K59" t="s">
        <v>2</v>
      </c>
      <c r="L59">
        <v>18</v>
      </c>
      <c r="M59">
        <v>0</v>
      </c>
      <c r="N59">
        <v>0</v>
      </c>
      <c r="O59">
        <v>0</v>
      </c>
      <c r="P59">
        <v>0</v>
      </c>
      <c r="Q59">
        <v>152.54</v>
      </c>
      <c r="R59">
        <v>305.08</v>
      </c>
      <c r="S59">
        <v>52.72</v>
      </c>
    </row>
    <row r="60" spans="1:19" x14ac:dyDescent="0.25">
      <c r="A60" t="s">
        <v>2</v>
      </c>
      <c r="B60" t="s">
        <v>2</v>
      </c>
      <c r="C60">
        <v>0</v>
      </c>
      <c r="D60" t="s">
        <v>2</v>
      </c>
      <c r="E60" t="s">
        <v>3</v>
      </c>
      <c r="F60" t="s">
        <v>2</v>
      </c>
      <c r="G60" t="s">
        <v>2</v>
      </c>
      <c r="H60">
        <v>2</v>
      </c>
      <c r="I60">
        <v>0</v>
      </c>
      <c r="J60" t="s">
        <v>2</v>
      </c>
      <c r="K60" t="s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305.08</v>
      </c>
      <c r="S60">
        <v>0</v>
      </c>
    </row>
    <row r="61" spans="1:19" x14ac:dyDescent="0.25">
      <c r="A61" t="s">
        <v>54</v>
      </c>
      <c r="B61" t="s">
        <v>55</v>
      </c>
      <c r="C61">
        <v>0</v>
      </c>
      <c r="D61" t="s">
        <v>2</v>
      </c>
      <c r="E61" t="s">
        <v>3</v>
      </c>
      <c r="F61" t="s">
        <v>2</v>
      </c>
      <c r="G61" t="s">
        <v>2</v>
      </c>
      <c r="H61">
        <v>0</v>
      </c>
      <c r="I61">
        <v>0</v>
      </c>
      <c r="J61" t="s">
        <v>2</v>
      </c>
      <c r="K61" t="s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25">
      <c r="A62" t="s">
        <v>2</v>
      </c>
      <c r="B62" t="s">
        <v>2</v>
      </c>
      <c r="C62">
        <v>0</v>
      </c>
      <c r="D62" t="s">
        <v>2</v>
      </c>
      <c r="E62" t="s">
        <v>3</v>
      </c>
      <c r="F62" t="s">
        <v>56</v>
      </c>
      <c r="G62" t="s">
        <v>40</v>
      </c>
      <c r="H62">
        <v>1</v>
      </c>
      <c r="I62">
        <v>0</v>
      </c>
      <c r="J62" t="s">
        <v>2</v>
      </c>
      <c r="K62" t="s">
        <v>2</v>
      </c>
      <c r="L62">
        <v>12</v>
      </c>
      <c r="M62">
        <v>0</v>
      </c>
      <c r="N62">
        <v>0</v>
      </c>
      <c r="O62">
        <v>0</v>
      </c>
      <c r="P62">
        <v>0</v>
      </c>
      <c r="Q62">
        <v>141.41999999999999</v>
      </c>
      <c r="R62">
        <v>141.41999999999999</v>
      </c>
      <c r="S62">
        <v>16.63</v>
      </c>
    </row>
    <row r="63" spans="1:19" x14ac:dyDescent="0.25">
      <c r="A63" t="s">
        <v>2</v>
      </c>
      <c r="B63" t="s">
        <v>2</v>
      </c>
      <c r="C63">
        <v>0</v>
      </c>
      <c r="D63" t="s">
        <v>2</v>
      </c>
      <c r="E63" t="s">
        <v>3</v>
      </c>
      <c r="F63" t="s">
        <v>2</v>
      </c>
      <c r="G63" t="s">
        <v>2</v>
      </c>
      <c r="H63">
        <v>1</v>
      </c>
      <c r="I63">
        <v>0</v>
      </c>
      <c r="J63" t="s">
        <v>2</v>
      </c>
      <c r="K63" t="s">
        <v>2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141.41999999999999</v>
      </c>
      <c r="S63">
        <v>0</v>
      </c>
    </row>
    <row r="64" spans="1:19" x14ac:dyDescent="0.25">
      <c r="A64" t="s">
        <v>57</v>
      </c>
      <c r="B64" t="s">
        <v>58</v>
      </c>
      <c r="C64">
        <v>0</v>
      </c>
      <c r="D64" t="s">
        <v>2</v>
      </c>
      <c r="E64" t="s">
        <v>3</v>
      </c>
      <c r="F64" t="s">
        <v>2</v>
      </c>
      <c r="G64" t="s">
        <v>2</v>
      </c>
      <c r="H64">
        <v>0</v>
      </c>
      <c r="I64">
        <v>0</v>
      </c>
      <c r="J64" t="s">
        <v>2</v>
      </c>
      <c r="K64" t="s">
        <v>2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25">
      <c r="A65" t="s">
        <v>2</v>
      </c>
      <c r="B65" t="s">
        <v>2</v>
      </c>
      <c r="C65">
        <v>0</v>
      </c>
      <c r="D65" t="s">
        <v>2</v>
      </c>
      <c r="E65" t="s">
        <v>3</v>
      </c>
      <c r="F65" t="s">
        <v>24</v>
      </c>
      <c r="G65" t="s">
        <v>25</v>
      </c>
      <c r="H65">
        <v>2</v>
      </c>
      <c r="I65">
        <v>0</v>
      </c>
      <c r="J65" t="s">
        <v>2</v>
      </c>
      <c r="K65" t="s">
        <v>2</v>
      </c>
      <c r="L65">
        <v>12</v>
      </c>
      <c r="M65">
        <v>0</v>
      </c>
      <c r="N65">
        <v>0</v>
      </c>
      <c r="O65">
        <v>0</v>
      </c>
      <c r="P65">
        <v>0</v>
      </c>
      <c r="Q65">
        <v>141.43</v>
      </c>
      <c r="R65">
        <v>270</v>
      </c>
      <c r="S65">
        <v>32.4</v>
      </c>
    </row>
    <row r="66" spans="1:19" x14ac:dyDescent="0.25">
      <c r="A66" t="s">
        <v>2</v>
      </c>
      <c r="B66" t="s">
        <v>2</v>
      </c>
      <c r="C66">
        <v>0</v>
      </c>
      <c r="D66" t="s">
        <v>2</v>
      </c>
      <c r="E66" t="s">
        <v>3</v>
      </c>
      <c r="F66" t="s">
        <v>2</v>
      </c>
      <c r="G66" t="s">
        <v>2</v>
      </c>
      <c r="H66">
        <v>2</v>
      </c>
      <c r="I66">
        <v>0</v>
      </c>
      <c r="J66" t="s">
        <v>2</v>
      </c>
      <c r="K66" t="s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270</v>
      </c>
      <c r="S66">
        <v>0</v>
      </c>
    </row>
    <row r="67" spans="1:19" x14ac:dyDescent="0.25">
      <c r="A67" t="s">
        <v>59</v>
      </c>
      <c r="B67" t="s">
        <v>60</v>
      </c>
      <c r="C67">
        <v>0</v>
      </c>
      <c r="D67" t="s">
        <v>2</v>
      </c>
      <c r="E67" t="s">
        <v>3</v>
      </c>
      <c r="F67" t="s">
        <v>2</v>
      </c>
      <c r="G67" t="s">
        <v>2</v>
      </c>
      <c r="H67">
        <v>0</v>
      </c>
      <c r="I67">
        <v>0</v>
      </c>
      <c r="J67" t="s">
        <v>2</v>
      </c>
      <c r="K67" t="s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25">
      <c r="A68" t="s">
        <v>2</v>
      </c>
      <c r="B68" t="s">
        <v>2</v>
      </c>
      <c r="C68">
        <v>0</v>
      </c>
      <c r="D68" t="s">
        <v>2</v>
      </c>
      <c r="E68" t="s">
        <v>3</v>
      </c>
      <c r="F68" t="s">
        <v>8</v>
      </c>
      <c r="G68" t="s">
        <v>9</v>
      </c>
      <c r="H68">
        <v>1</v>
      </c>
      <c r="I68">
        <v>0</v>
      </c>
      <c r="J68" t="s">
        <v>2</v>
      </c>
      <c r="K68" t="s">
        <v>2</v>
      </c>
      <c r="L68">
        <v>18</v>
      </c>
      <c r="M68">
        <v>0</v>
      </c>
      <c r="N68">
        <v>0</v>
      </c>
      <c r="O68">
        <v>0</v>
      </c>
      <c r="P68">
        <v>0</v>
      </c>
      <c r="Q68">
        <v>152.54</v>
      </c>
      <c r="R68">
        <v>152.54</v>
      </c>
      <c r="S68">
        <v>27.1</v>
      </c>
    </row>
    <row r="69" spans="1:19" x14ac:dyDescent="0.25">
      <c r="A69" t="s">
        <v>2</v>
      </c>
      <c r="B69" t="s">
        <v>2</v>
      </c>
      <c r="C69">
        <v>0</v>
      </c>
      <c r="D69" t="s">
        <v>2</v>
      </c>
      <c r="E69" t="s">
        <v>3</v>
      </c>
      <c r="F69" t="s">
        <v>2</v>
      </c>
      <c r="G69" t="s">
        <v>2</v>
      </c>
      <c r="H69">
        <v>1</v>
      </c>
      <c r="I69">
        <v>0</v>
      </c>
      <c r="J69" t="s">
        <v>2</v>
      </c>
      <c r="K69" t="s">
        <v>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152.54</v>
      </c>
      <c r="S69">
        <v>0</v>
      </c>
    </row>
    <row r="70" spans="1:19" x14ac:dyDescent="0.25">
      <c r="A70" t="s">
        <v>61</v>
      </c>
      <c r="B70" t="s">
        <v>62</v>
      </c>
      <c r="C70">
        <v>0</v>
      </c>
      <c r="D70" t="s">
        <v>2</v>
      </c>
      <c r="E70" t="s">
        <v>3</v>
      </c>
      <c r="F70" t="s">
        <v>2</v>
      </c>
      <c r="G70" t="s">
        <v>2</v>
      </c>
      <c r="H70">
        <v>0</v>
      </c>
      <c r="I70">
        <v>0</v>
      </c>
      <c r="J70" t="s">
        <v>2</v>
      </c>
      <c r="K70" t="s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25">
      <c r="A71" t="s">
        <v>2</v>
      </c>
      <c r="B71" t="s">
        <v>2</v>
      </c>
      <c r="C71">
        <v>0</v>
      </c>
      <c r="D71" t="s">
        <v>2</v>
      </c>
      <c r="E71" t="s">
        <v>3</v>
      </c>
      <c r="F71" t="s">
        <v>41</v>
      </c>
      <c r="G71" t="s">
        <v>13</v>
      </c>
      <c r="H71">
        <v>1</v>
      </c>
      <c r="I71">
        <v>0</v>
      </c>
      <c r="J71" t="s">
        <v>2</v>
      </c>
      <c r="K71" t="s">
        <v>2</v>
      </c>
      <c r="L71">
        <v>12</v>
      </c>
      <c r="M71">
        <v>0</v>
      </c>
      <c r="N71">
        <v>0</v>
      </c>
      <c r="O71">
        <v>0</v>
      </c>
      <c r="P71">
        <v>0</v>
      </c>
      <c r="Q71">
        <v>102.85</v>
      </c>
      <c r="R71">
        <v>102.85</v>
      </c>
      <c r="S71">
        <v>12.18</v>
      </c>
    </row>
    <row r="72" spans="1:19" x14ac:dyDescent="0.25">
      <c r="A72" t="s">
        <v>2</v>
      </c>
      <c r="B72" t="s">
        <v>2</v>
      </c>
      <c r="C72">
        <v>0</v>
      </c>
      <c r="D72" t="s">
        <v>2</v>
      </c>
      <c r="E72" t="s">
        <v>3</v>
      </c>
      <c r="F72" t="s">
        <v>2</v>
      </c>
      <c r="G72" t="s">
        <v>2</v>
      </c>
      <c r="H72">
        <v>1</v>
      </c>
      <c r="I72">
        <v>0</v>
      </c>
      <c r="J72" t="s">
        <v>2</v>
      </c>
      <c r="K72" t="s">
        <v>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102.85</v>
      </c>
      <c r="S72">
        <v>0</v>
      </c>
    </row>
    <row r="73" spans="1:19" x14ac:dyDescent="0.25">
      <c r="A73" t="s">
        <v>63</v>
      </c>
      <c r="B73" t="s">
        <v>64</v>
      </c>
      <c r="C73">
        <v>0</v>
      </c>
      <c r="D73" t="s">
        <v>2</v>
      </c>
      <c r="E73" t="s">
        <v>3</v>
      </c>
      <c r="F73" t="s">
        <v>2</v>
      </c>
      <c r="G73" t="s">
        <v>2</v>
      </c>
      <c r="H73">
        <v>0</v>
      </c>
      <c r="I73">
        <v>0</v>
      </c>
      <c r="J73" t="s">
        <v>2</v>
      </c>
      <c r="K73" t="s">
        <v>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25">
      <c r="A74" t="s">
        <v>2</v>
      </c>
      <c r="B74" t="s">
        <v>2</v>
      </c>
      <c r="C74">
        <v>0</v>
      </c>
      <c r="D74" t="s">
        <v>2</v>
      </c>
      <c r="E74" t="s">
        <v>3</v>
      </c>
      <c r="F74" t="s">
        <v>65</v>
      </c>
      <c r="G74" t="s">
        <v>33</v>
      </c>
      <c r="H74">
        <v>2</v>
      </c>
      <c r="I74">
        <v>0</v>
      </c>
      <c r="J74" t="s">
        <v>2</v>
      </c>
      <c r="K74" t="s">
        <v>2</v>
      </c>
      <c r="L74">
        <v>12</v>
      </c>
      <c r="M74">
        <v>0</v>
      </c>
      <c r="N74">
        <v>0</v>
      </c>
      <c r="O74">
        <v>0</v>
      </c>
      <c r="P74">
        <v>0</v>
      </c>
      <c r="Q74">
        <v>192.85</v>
      </c>
      <c r="R74">
        <v>385.7</v>
      </c>
      <c r="S74">
        <v>44.9</v>
      </c>
    </row>
    <row r="75" spans="1:19" x14ac:dyDescent="0.25">
      <c r="A75" t="s">
        <v>2</v>
      </c>
      <c r="B75" t="s">
        <v>2</v>
      </c>
      <c r="C75">
        <v>0</v>
      </c>
      <c r="D75" t="s">
        <v>2</v>
      </c>
      <c r="E75" t="s">
        <v>3</v>
      </c>
      <c r="F75" t="s">
        <v>2</v>
      </c>
      <c r="G75" t="s">
        <v>2</v>
      </c>
      <c r="H75">
        <v>2</v>
      </c>
      <c r="I75">
        <v>0</v>
      </c>
      <c r="J75" t="s">
        <v>2</v>
      </c>
      <c r="K75" t="s">
        <v>2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385.7</v>
      </c>
      <c r="S75">
        <v>0</v>
      </c>
    </row>
    <row r="76" spans="1:19" x14ac:dyDescent="0.25">
      <c r="A76" t="s">
        <v>66</v>
      </c>
      <c r="B76" t="s">
        <v>67</v>
      </c>
      <c r="C76">
        <v>0</v>
      </c>
      <c r="D76" t="s">
        <v>2</v>
      </c>
      <c r="E76" t="s">
        <v>3</v>
      </c>
      <c r="F76" t="s">
        <v>2</v>
      </c>
      <c r="G76" t="s">
        <v>2</v>
      </c>
      <c r="H76">
        <v>0</v>
      </c>
      <c r="I76">
        <v>0</v>
      </c>
      <c r="J76" t="s">
        <v>2</v>
      </c>
      <c r="K76" t="s">
        <v>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25">
      <c r="A77" t="s">
        <v>2</v>
      </c>
      <c r="B77" t="s">
        <v>2</v>
      </c>
      <c r="C77">
        <v>0</v>
      </c>
      <c r="D77" t="s">
        <v>2</v>
      </c>
      <c r="E77" t="s">
        <v>3</v>
      </c>
      <c r="F77" t="s">
        <v>4</v>
      </c>
      <c r="G77" t="s">
        <v>5</v>
      </c>
      <c r="H77">
        <v>1</v>
      </c>
      <c r="I77">
        <v>0</v>
      </c>
      <c r="J77" t="s">
        <v>2</v>
      </c>
      <c r="K77" t="s">
        <v>2</v>
      </c>
      <c r="L77">
        <v>18</v>
      </c>
      <c r="M77">
        <v>0</v>
      </c>
      <c r="N77">
        <v>0</v>
      </c>
      <c r="O77">
        <v>0</v>
      </c>
      <c r="P77">
        <v>0</v>
      </c>
      <c r="Q77">
        <v>152.54</v>
      </c>
      <c r="R77">
        <v>152.54</v>
      </c>
      <c r="S77">
        <v>27.1</v>
      </c>
    </row>
    <row r="78" spans="1:19" x14ac:dyDescent="0.25">
      <c r="A78" t="s">
        <v>2</v>
      </c>
      <c r="B78" t="s">
        <v>2</v>
      </c>
      <c r="C78">
        <v>0</v>
      </c>
      <c r="D78" t="s">
        <v>2</v>
      </c>
      <c r="E78" t="s">
        <v>3</v>
      </c>
      <c r="F78" t="s">
        <v>2</v>
      </c>
      <c r="G78" t="s">
        <v>2</v>
      </c>
      <c r="H78">
        <v>1</v>
      </c>
      <c r="I78">
        <v>0</v>
      </c>
      <c r="J78" t="s">
        <v>2</v>
      </c>
      <c r="K78" t="s">
        <v>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152.54</v>
      </c>
      <c r="S78">
        <v>0</v>
      </c>
    </row>
    <row r="79" spans="1:19" x14ac:dyDescent="0.25">
      <c r="A79" t="s">
        <v>68</v>
      </c>
      <c r="B79" t="s">
        <v>69</v>
      </c>
      <c r="C79">
        <v>0</v>
      </c>
      <c r="D79" t="s">
        <v>2</v>
      </c>
      <c r="E79" t="s">
        <v>3</v>
      </c>
      <c r="F79" t="s">
        <v>2</v>
      </c>
      <c r="G79" t="s">
        <v>2</v>
      </c>
      <c r="H79">
        <v>0</v>
      </c>
      <c r="I79">
        <v>0</v>
      </c>
      <c r="J79" t="s">
        <v>2</v>
      </c>
      <c r="K79" t="s">
        <v>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25">
      <c r="A80" t="s">
        <v>2</v>
      </c>
      <c r="B80" t="s">
        <v>2</v>
      </c>
      <c r="C80">
        <v>0</v>
      </c>
      <c r="D80" t="s">
        <v>2</v>
      </c>
      <c r="E80" t="s">
        <v>3</v>
      </c>
      <c r="F80" t="s">
        <v>44</v>
      </c>
      <c r="G80" t="s">
        <v>13</v>
      </c>
      <c r="H80">
        <v>1</v>
      </c>
      <c r="I80">
        <v>0</v>
      </c>
      <c r="J80" t="s">
        <v>2</v>
      </c>
      <c r="K80" t="s">
        <v>2</v>
      </c>
      <c r="L80">
        <v>12</v>
      </c>
      <c r="M80">
        <v>0</v>
      </c>
      <c r="N80">
        <v>0</v>
      </c>
      <c r="O80">
        <v>0</v>
      </c>
      <c r="P80">
        <v>0</v>
      </c>
      <c r="Q80">
        <v>160.71</v>
      </c>
      <c r="R80">
        <v>160.71</v>
      </c>
      <c r="S80">
        <v>18.71</v>
      </c>
    </row>
    <row r="81" spans="1:19" x14ac:dyDescent="0.25">
      <c r="A81" t="s">
        <v>2</v>
      </c>
      <c r="B81" t="s">
        <v>2</v>
      </c>
      <c r="C81">
        <v>0</v>
      </c>
      <c r="D81" t="s">
        <v>2</v>
      </c>
      <c r="E81" t="s">
        <v>3</v>
      </c>
      <c r="F81" t="s">
        <v>2</v>
      </c>
      <c r="G81" t="s">
        <v>2</v>
      </c>
      <c r="H81">
        <v>1</v>
      </c>
      <c r="I81">
        <v>0</v>
      </c>
      <c r="J81" t="s">
        <v>2</v>
      </c>
      <c r="K81" t="s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160.71</v>
      </c>
      <c r="S81">
        <v>0</v>
      </c>
    </row>
    <row r="82" spans="1:19" x14ac:dyDescent="0.25">
      <c r="A82" t="s">
        <v>70</v>
      </c>
      <c r="B82" t="s">
        <v>71</v>
      </c>
      <c r="C82">
        <v>0</v>
      </c>
      <c r="D82" t="s">
        <v>2</v>
      </c>
      <c r="E82" t="s">
        <v>3</v>
      </c>
      <c r="F82" t="s">
        <v>2</v>
      </c>
      <c r="G82" t="s">
        <v>2</v>
      </c>
      <c r="H82">
        <v>0</v>
      </c>
      <c r="I82">
        <v>0</v>
      </c>
      <c r="J82" t="s">
        <v>2</v>
      </c>
      <c r="K82" t="s">
        <v>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25">
      <c r="A83" t="s">
        <v>2</v>
      </c>
      <c r="B83" t="s">
        <v>2</v>
      </c>
      <c r="C83">
        <v>0</v>
      </c>
      <c r="D83" t="s">
        <v>2</v>
      </c>
      <c r="E83" t="s">
        <v>3</v>
      </c>
      <c r="F83" t="s">
        <v>44</v>
      </c>
      <c r="G83" t="s">
        <v>13</v>
      </c>
      <c r="H83">
        <v>1</v>
      </c>
      <c r="I83">
        <v>0</v>
      </c>
      <c r="J83" t="s">
        <v>2</v>
      </c>
      <c r="K83" t="s">
        <v>2</v>
      </c>
      <c r="L83">
        <v>12</v>
      </c>
      <c r="M83">
        <v>0</v>
      </c>
      <c r="N83">
        <v>0</v>
      </c>
      <c r="O83">
        <v>0</v>
      </c>
      <c r="P83">
        <v>0</v>
      </c>
      <c r="Q83">
        <v>160.71</v>
      </c>
      <c r="R83">
        <v>160.71</v>
      </c>
      <c r="S83">
        <v>18.899999999999999</v>
      </c>
    </row>
    <row r="84" spans="1:19" x14ac:dyDescent="0.25">
      <c r="A84" t="s">
        <v>2</v>
      </c>
      <c r="B84" t="s">
        <v>2</v>
      </c>
      <c r="C84">
        <v>0</v>
      </c>
      <c r="D84" t="s">
        <v>2</v>
      </c>
      <c r="E84" t="s">
        <v>3</v>
      </c>
      <c r="F84" t="s">
        <v>2</v>
      </c>
      <c r="G84" t="s">
        <v>2</v>
      </c>
      <c r="H84">
        <v>1</v>
      </c>
      <c r="I84">
        <v>0</v>
      </c>
      <c r="J84" t="s">
        <v>2</v>
      </c>
      <c r="K84" t="s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160.71</v>
      </c>
      <c r="S84">
        <v>0</v>
      </c>
    </row>
    <row r="85" spans="1:19" x14ac:dyDescent="0.25">
      <c r="A85" t="s">
        <v>72</v>
      </c>
      <c r="B85" t="s">
        <v>73</v>
      </c>
      <c r="C85">
        <v>0</v>
      </c>
      <c r="D85" t="s">
        <v>2</v>
      </c>
      <c r="E85" t="s">
        <v>3</v>
      </c>
      <c r="F85" t="s">
        <v>2</v>
      </c>
      <c r="G85" t="s">
        <v>2</v>
      </c>
      <c r="H85">
        <v>0</v>
      </c>
      <c r="I85">
        <v>0</v>
      </c>
      <c r="J85" t="s">
        <v>2</v>
      </c>
      <c r="K85" t="s">
        <v>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25">
      <c r="A86" t="s">
        <v>2</v>
      </c>
      <c r="B86" t="s">
        <v>2</v>
      </c>
      <c r="C86">
        <v>0</v>
      </c>
      <c r="D86" t="s">
        <v>2</v>
      </c>
      <c r="E86" t="s">
        <v>3</v>
      </c>
      <c r="F86" t="s">
        <v>74</v>
      </c>
      <c r="G86" t="s">
        <v>17</v>
      </c>
      <c r="H86">
        <v>1</v>
      </c>
      <c r="I86">
        <v>0</v>
      </c>
      <c r="J86" t="s">
        <v>2</v>
      </c>
      <c r="K86" t="s">
        <v>2</v>
      </c>
      <c r="L86">
        <v>18</v>
      </c>
      <c r="M86">
        <v>0</v>
      </c>
      <c r="N86">
        <v>0</v>
      </c>
      <c r="O86">
        <v>0</v>
      </c>
      <c r="P86">
        <v>0</v>
      </c>
      <c r="Q86">
        <v>115.93</v>
      </c>
      <c r="R86">
        <v>115.93</v>
      </c>
      <c r="S86">
        <v>20.6</v>
      </c>
    </row>
    <row r="87" spans="1:19" x14ac:dyDescent="0.25">
      <c r="A87" t="s">
        <v>2</v>
      </c>
      <c r="B87" t="s">
        <v>2</v>
      </c>
      <c r="C87">
        <v>0</v>
      </c>
      <c r="D87" t="s">
        <v>2</v>
      </c>
      <c r="E87" t="s">
        <v>3</v>
      </c>
      <c r="F87" t="s">
        <v>2</v>
      </c>
      <c r="G87" t="s">
        <v>2</v>
      </c>
      <c r="H87">
        <v>1</v>
      </c>
      <c r="I87">
        <v>0</v>
      </c>
      <c r="J87" t="s">
        <v>2</v>
      </c>
      <c r="K87" t="s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115.93</v>
      </c>
      <c r="S87">
        <v>0</v>
      </c>
    </row>
    <row r="88" spans="1:19" x14ac:dyDescent="0.25">
      <c r="A88" t="s">
        <v>75</v>
      </c>
      <c r="B88" t="s">
        <v>76</v>
      </c>
      <c r="C88">
        <v>0</v>
      </c>
      <c r="D88" t="s">
        <v>2</v>
      </c>
      <c r="E88" t="s">
        <v>3</v>
      </c>
      <c r="F88" t="s">
        <v>2</v>
      </c>
      <c r="G88" t="s">
        <v>2</v>
      </c>
      <c r="H88">
        <v>0</v>
      </c>
      <c r="I88">
        <v>0</v>
      </c>
      <c r="J88" t="s">
        <v>2</v>
      </c>
      <c r="K88" t="s">
        <v>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25">
      <c r="A89" t="s">
        <v>2</v>
      </c>
      <c r="B89" t="s">
        <v>2</v>
      </c>
      <c r="C89">
        <v>0</v>
      </c>
      <c r="D89" t="s">
        <v>2</v>
      </c>
      <c r="E89" t="s">
        <v>3</v>
      </c>
      <c r="F89" t="s">
        <v>77</v>
      </c>
      <c r="G89" t="s">
        <v>49</v>
      </c>
      <c r="H89">
        <v>1</v>
      </c>
      <c r="I89">
        <v>0</v>
      </c>
      <c r="J89" t="s">
        <v>2</v>
      </c>
      <c r="K89" t="s">
        <v>2</v>
      </c>
      <c r="L89">
        <v>18</v>
      </c>
      <c r="M89">
        <v>0</v>
      </c>
      <c r="N89">
        <v>0</v>
      </c>
      <c r="O89">
        <v>0</v>
      </c>
      <c r="P89">
        <v>0</v>
      </c>
      <c r="Q89">
        <v>97.62</v>
      </c>
      <c r="R89">
        <v>97.62</v>
      </c>
      <c r="S89">
        <v>17.36</v>
      </c>
    </row>
    <row r="90" spans="1:19" x14ac:dyDescent="0.25">
      <c r="A90" t="s">
        <v>2</v>
      </c>
      <c r="B90" t="s">
        <v>2</v>
      </c>
      <c r="C90">
        <v>0</v>
      </c>
      <c r="D90" t="s">
        <v>2</v>
      </c>
      <c r="E90" t="s">
        <v>3</v>
      </c>
      <c r="F90" t="s">
        <v>2</v>
      </c>
      <c r="G90" t="s">
        <v>2</v>
      </c>
      <c r="H90">
        <v>1</v>
      </c>
      <c r="I90">
        <v>0</v>
      </c>
      <c r="J90" t="s">
        <v>2</v>
      </c>
      <c r="K90" t="s">
        <v>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97.62</v>
      </c>
      <c r="S90">
        <v>0</v>
      </c>
    </row>
    <row r="91" spans="1:19" x14ac:dyDescent="0.25">
      <c r="A91" t="s">
        <v>78</v>
      </c>
      <c r="B91" t="s">
        <v>79</v>
      </c>
      <c r="C91">
        <v>0</v>
      </c>
      <c r="D91" t="s">
        <v>2</v>
      </c>
      <c r="E91" t="s">
        <v>3</v>
      </c>
      <c r="F91" t="s">
        <v>2</v>
      </c>
      <c r="G91" t="s">
        <v>2</v>
      </c>
      <c r="H91">
        <v>0</v>
      </c>
      <c r="I91">
        <v>0</v>
      </c>
      <c r="J91" t="s">
        <v>2</v>
      </c>
      <c r="K91" t="s">
        <v>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25">
      <c r="A92" t="s">
        <v>2</v>
      </c>
      <c r="B92" t="s">
        <v>2</v>
      </c>
      <c r="C92">
        <v>0</v>
      </c>
      <c r="D92" t="s">
        <v>2</v>
      </c>
      <c r="E92" t="s">
        <v>3</v>
      </c>
      <c r="F92" t="s">
        <v>12</v>
      </c>
      <c r="G92" t="s">
        <v>13</v>
      </c>
      <c r="H92">
        <v>15</v>
      </c>
      <c r="I92" s="4">
        <v>15</v>
      </c>
      <c r="J92" t="s">
        <v>2</v>
      </c>
      <c r="K92" t="s">
        <v>2</v>
      </c>
      <c r="L92">
        <v>18</v>
      </c>
      <c r="M92">
        <v>0</v>
      </c>
      <c r="N92">
        <v>0</v>
      </c>
      <c r="O92">
        <v>0</v>
      </c>
      <c r="P92">
        <v>0</v>
      </c>
      <c r="Q92">
        <v>305.08</v>
      </c>
      <c r="R92">
        <v>4576.2</v>
      </c>
      <c r="S92">
        <v>823.72</v>
      </c>
    </row>
    <row r="93" spans="1:19" x14ac:dyDescent="0.25">
      <c r="A93" t="s">
        <v>2</v>
      </c>
      <c r="B93" t="s">
        <v>2</v>
      </c>
      <c r="C93">
        <v>0</v>
      </c>
      <c r="D93" t="s">
        <v>2</v>
      </c>
      <c r="E93" t="s">
        <v>3</v>
      </c>
      <c r="F93" t="s">
        <v>2</v>
      </c>
      <c r="G93" t="s">
        <v>2</v>
      </c>
      <c r="H93">
        <v>15</v>
      </c>
      <c r="I93">
        <v>15</v>
      </c>
      <c r="J93" t="s">
        <v>2</v>
      </c>
      <c r="K93" t="s">
        <v>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4576.2</v>
      </c>
      <c r="S93">
        <v>0</v>
      </c>
    </row>
    <row r="94" spans="1:19" x14ac:dyDescent="0.25">
      <c r="A94" t="s">
        <v>80</v>
      </c>
      <c r="B94" t="s">
        <v>81</v>
      </c>
      <c r="C94">
        <v>0</v>
      </c>
      <c r="D94" t="s">
        <v>2</v>
      </c>
      <c r="E94" t="s">
        <v>3</v>
      </c>
      <c r="F94" t="s">
        <v>2</v>
      </c>
      <c r="G94" t="s">
        <v>2</v>
      </c>
      <c r="H94">
        <v>0</v>
      </c>
      <c r="I94">
        <v>0</v>
      </c>
      <c r="J94" t="s">
        <v>2</v>
      </c>
      <c r="K94" t="s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25">
      <c r="A95" t="s">
        <v>2</v>
      </c>
      <c r="B95" t="s">
        <v>2</v>
      </c>
      <c r="C95">
        <v>0</v>
      </c>
      <c r="D95" t="s">
        <v>2</v>
      </c>
      <c r="E95" t="s">
        <v>3</v>
      </c>
      <c r="F95" t="s">
        <v>74</v>
      </c>
      <c r="G95" t="s">
        <v>17</v>
      </c>
      <c r="H95">
        <v>3</v>
      </c>
      <c r="I95">
        <v>0</v>
      </c>
      <c r="J95" t="s">
        <v>2</v>
      </c>
      <c r="K95" t="s">
        <v>2</v>
      </c>
      <c r="L95">
        <v>18</v>
      </c>
      <c r="M95">
        <v>0</v>
      </c>
      <c r="N95">
        <v>0</v>
      </c>
      <c r="O95">
        <v>0</v>
      </c>
      <c r="P95">
        <v>0</v>
      </c>
      <c r="Q95">
        <v>115.93</v>
      </c>
      <c r="R95">
        <v>347.79</v>
      </c>
      <c r="S95">
        <v>61.82</v>
      </c>
    </row>
    <row r="96" spans="1:19" x14ac:dyDescent="0.25">
      <c r="A96" t="s">
        <v>2</v>
      </c>
      <c r="B96" t="s">
        <v>2</v>
      </c>
      <c r="C96">
        <v>0</v>
      </c>
      <c r="D96" t="s">
        <v>2</v>
      </c>
      <c r="E96" t="s">
        <v>3</v>
      </c>
      <c r="F96" t="s">
        <v>2</v>
      </c>
      <c r="G96" t="s">
        <v>2</v>
      </c>
      <c r="H96">
        <v>3</v>
      </c>
      <c r="I96">
        <v>0</v>
      </c>
      <c r="J96" t="s">
        <v>2</v>
      </c>
      <c r="K96" t="s">
        <v>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347.79</v>
      </c>
      <c r="S96">
        <v>0</v>
      </c>
    </row>
    <row r="97" spans="1:19" x14ac:dyDescent="0.25">
      <c r="A97" t="s">
        <v>82</v>
      </c>
      <c r="B97" t="s">
        <v>83</v>
      </c>
      <c r="C97">
        <v>0</v>
      </c>
      <c r="D97" t="s">
        <v>2</v>
      </c>
      <c r="E97" t="s">
        <v>3</v>
      </c>
      <c r="F97" t="s">
        <v>2</v>
      </c>
      <c r="G97" t="s">
        <v>2</v>
      </c>
      <c r="H97">
        <v>0</v>
      </c>
      <c r="I97">
        <v>0</v>
      </c>
      <c r="J97" t="s">
        <v>2</v>
      </c>
      <c r="K97" t="s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25">
      <c r="A98" t="s">
        <v>2</v>
      </c>
      <c r="B98" t="s">
        <v>2</v>
      </c>
      <c r="C98">
        <v>0</v>
      </c>
      <c r="D98" t="s">
        <v>2</v>
      </c>
      <c r="E98" t="s">
        <v>3</v>
      </c>
      <c r="F98" t="s">
        <v>24</v>
      </c>
      <c r="G98" t="s">
        <v>25</v>
      </c>
      <c r="H98">
        <v>1</v>
      </c>
      <c r="I98">
        <v>0</v>
      </c>
      <c r="J98" t="s">
        <v>2</v>
      </c>
      <c r="K98" t="s">
        <v>2</v>
      </c>
      <c r="L98">
        <v>12</v>
      </c>
      <c r="M98">
        <v>0</v>
      </c>
      <c r="N98">
        <v>0</v>
      </c>
      <c r="O98">
        <v>0</v>
      </c>
      <c r="P98">
        <v>0</v>
      </c>
      <c r="Q98">
        <v>141.43</v>
      </c>
      <c r="R98">
        <v>141.43</v>
      </c>
      <c r="S98">
        <v>16.59</v>
      </c>
    </row>
    <row r="99" spans="1:19" x14ac:dyDescent="0.25">
      <c r="A99" t="s">
        <v>2</v>
      </c>
      <c r="B99" t="s">
        <v>2</v>
      </c>
      <c r="C99">
        <v>0</v>
      </c>
      <c r="D99" t="s">
        <v>2</v>
      </c>
      <c r="E99" t="s">
        <v>3</v>
      </c>
      <c r="F99" t="s">
        <v>2</v>
      </c>
      <c r="G99" t="s">
        <v>2</v>
      </c>
      <c r="H99">
        <v>1</v>
      </c>
      <c r="I99">
        <v>0</v>
      </c>
      <c r="J99" t="s">
        <v>2</v>
      </c>
      <c r="K99" t="s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141.43</v>
      </c>
      <c r="S99">
        <v>0</v>
      </c>
    </row>
    <row r="100" spans="1:19" x14ac:dyDescent="0.25">
      <c r="A100" t="s">
        <v>84</v>
      </c>
      <c r="B100" t="s">
        <v>85</v>
      </c>
      <c r="C100">
        <v>0</v>
      </c>
      <c r="D100" t="s">
        <v>2</v>
      </c>
      <c r="E100" t="s">
        <v>3</v>
      </c>
      <c r="F100" t="s">
        <v>2</v>
      </c>
      <c r="G100" t="s">
        <v>2</v>
      </c>
      <c r="H100">
        <v>0</v>
      </c>
      <c r="I100">
        <v>0</v>
      </c>
      <c r="J100" t="s">
        <v>2</v>
      </c>
      <c r="K100" t="s">
        <v>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25">
      <c r="A101" t="s">
        <v>2</v>
      </c>
      <c r="B101" t="s">
        <v>2</v>
      </c>
      <c r="C101">
        <v>0</v>
      </c>
      <c r="D101" t="s">
        <v>2</v>
      </c>
      <c r="E101" t="s">
        <v>3</v>
      </c>
      <c r="F101" t="s">
        <v>8</v>
      </c>
      <c r="G101" t="s">
        <v>9</v>
      </c>
      <c r="H101">
        <v>1</v>
      </c>
      <c r="I101">
        <v>0</v>
      </c>
      <c r="J101" t="s">
        <v>2</v>
      </c>
      <c r="K101" t="s">
        <v>2</v>
      </c>
      <c r="L101">
        <v>18</v>
      </c>
      <c r="M101">
        <v>0</v>
      </c>
      <c r="N101">
        <v>0</v>
      </c>
      <c r="O101">
        <v>0</v>
      </c>
      <c r="P101">
        <v>0</v>
      </c>
      <c r="Q101">
        <v>152.54</v>
      </c>
      <c r="R101">
        <v>152.54</v>
      </c>
      <c r="S101">
        <v>26.63</v>
      </c>
    </row>
    <row r="102" spans="1:19" x14ac:dyDescent="0.25">
      <c r="A102" t="s">
        <v>2</v>
      </c>
      <c r="B102" t="s">
        <v>2</v>
      </c>
      <c r="C102">
        <v>0</v>
      </c>
      <c r="D102" t="s">
        <v>2</v>
      </c>
      <c r="E102" t="s">
        <v>3</v>
      </c>
      <c r="F102" t="s">
        <v>2</v>
      </c>
      <c r="G102" t="s">
        <v>2</v>
      </c>
      <c r="H102">
        <v>1</v>
      </c>
      <c r="I102">
        <v>0</v>
      </c>
      <c r="J102" t="s">
        <v>2</v>
      </c>
      <c r="K102" t="s">
        <v>2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152.54</v>
      </c>
      <c r="S102">
        <v>0</v>
      </c>
    </row>
    <row r="103" spans="1:19" x14ac:dyDescent="0.25">
      <c r="A103" t="s">
        <v>86</v>
      </c>
      <c r="B103" t="s">
        <v>87</v>
      </c>
      <c r="C103">
        <v>0</v>
      </c>
      <c r="D103" t="s">
        <v>2</v>
      </c>
      <c r="E103" t="s">
        <v>3</v>
      </c>
      <c r="F103" t="s">
        <v>2</v>
      </c>
      <c r="G103" t="s">
        <v>2</v>
      </c>
      <c r="H103">
        <v>0</v>
      </c>
      <c r="I103">
        <v>0</v>
      </c>
      <c r="J103" t="s">
        <v>2</v>
      </c>
      <c r="K103" t="s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25">
      <c r="A104" t="s">
        <v>2</v>
      </c>
      <c r="B104" t="s">
        <v>2</v>
      </c>
      <c r="C104">
        <v>0</v>
      </c>
      <c r="D104" t="s">
        <v>2</v>
      </c>
      <c r="E104" t="s">
        <v>3</v>
      </c>
      <c r="F104" t="s">
        <v>32</v>
      </c>
      <c r="G104" t="s">
        <v>33</v>
      </c>
      <c r="H104">
        <v>1</v>
      </c>
      <c r="I104">
        <v>0</v>
      </c>
      <c r="J104" t="s">
        <v>2</v>
      </c>
      <c r="K104" t="s">
        <v>2</v>
      </c>
      <c r="L104">
        <v>12</v>
      </c>
      <c r="M104">
        <v>0</v>
      </c>
      <c r="N104">
        <v>0</v>
      </c>
      <c r="O104">
        <v>0</v>
      </c>
      <c r="P104">
        <v>0</v>
      </c>
      <c r="Q104">
        <v>102.85</v>
      </c>
      <c r="R104">
        <v>102.85</v>
      </c>
      <c r="S104">
        <v>12.18</v>
      </c>
    </row>
    <row r="105" spans="1:19" x14ac:dyDescent="0.25">
      <c r="A105" t="s">
        <v>2</v>
      </c>
      <c r="B105" t="s">
        <v>2</v>
      </c>
      <c r="C105">
        <v>0</v>
      </c>
      <c r="D105" t="s">
        <v>2</v>
      </c>
      <c r="E105" t="s">
        <v>3</v>
      </c>
      <c r="F105" t="s">
        <v>88</v>
      </c>
      <c r="G105" t="s">
        <v>33</v>
      </c>
      <c r="H105">
        <v>2</v>
      </c>
      <c r="I105">
        <v>0</v>
      </c>
      <c r="J105" t="s">
        <v>2</v>
      </c>
      <c r="K105" t="s">
        <v>2</v>
      </c>
      <c r="L105">
        <v>12</v>
      </c>
      <c r="M105">
        <v>0</v>
      </c>
      <c r="N105">
        <v>0</v>
      </c>
      <c r="O105">
        <v>0</v>
      </c>
      <c r="P105">
        <v>0</v>
      </c>
      <c r="Q105">
        <v>128.57</v>
      </c>
      <c r="R105">
        <v>257.14</v>
      </c>
      <c r="S105">
        <v>30.24</v>
      </c>
    </row>
    <row r="106" spans="1:19" x14ac:dyDescent="0.25">
      <c r="A106" t="s">
        <v>2</v>
      </c>
      <c r="B106" t="s">
        <v>2</v>
      </c>
      <c r="C106">
        <v>0</v>
      </c>
      <c r="D106" t="s">
        <v>2</v>
      </c>
      <c r="E106" t="s">
        <v>3</v>
      </c>
      <c r="F106" t="s">
        <v>65</v>
      </c>
      <c r="G106" t="s">
        <v>33</v>
      </c>
      <c r="H106">
        <v>2</v>
      </c>
      <c r="I106">
        <v>0</v>
      </c>
      <c r="J106" t="s">
        <v>2</v>
      </c>
      <c r="K106" t="s">
        <v>2</v>
      </c>
      <c r="L106">
        <v>12</v>
      </c>
      <c r="M106">
        <v>0</v>
      </c>
      <c r="N106">
        <v>0</v>
      </c>
      <c r="O106">
        <v>0</v>
      </c>
      <c r="P106">
        <v>0</v>
      </c>
      <c r="Q106">
        <v>192.85</v>
      </c>
      <c r="R106">
        <v>385.7</v>
      </c>
      <c r="S106">
        <v>44.9</v>
      </c>
    </row>
    <row r="107" spans="1:19" x14ac:dyDescent="0.25">
      <c r="A107" t="s">
        <v>2</v>
      </c>
      <c r="B107" t="s">
        <v>2</v>
      </c>
      <c r="C107">
        <v>0</v>
      </c>
      <c r="D107" t="s">
        <v>2</v>
      </c>
      <c r="E107" t="s">
        <v>3</v>
      </c>
      <c r="F107" t="s">
        <v>77</v>
      </c>
      <c r="G107" t="s">
        <v>49</v>
      </c>
      <c r="H107">
        <v>1</v>
      </c>
      <c r="I107">
        <v>0</v>
      </c>
      <c r="J107" t="s">
        <v>2</v>
      </c>
      <c r="K107" t="s">
        <v>2</v>
      </c>
      <c r="L107">
        <v>18</v>
      </c>
      <c r="M107">
        <v>0</v>
      </c>
      <c r="N107">
        <v>0</v>
      </c>
      <c r="O107">
        <v>0</v>
      </c>
      <c r="P107">
        <v>0</v>
      </c>
      <c r="Q107">
        <v>97.62</v>
      </c>
      <c r="R107">
        <v>97.62</v>
      </c>
      <c r="S107">
        <v>17.57</v>
      </c>
    </row>
    <row r="108" spans="1:19" x14ac:dyDescent="0.25">
      <c r="A108" t="s">
        <v>2</v>
      </c>
      <c r="B108" t="s">
        <v>2</v>
      </c>
      <c r="C108">
        <v>0</v>
      </c>
      <c r="D108" t="s">
        <v>2</v>
      </c>
      <c r="E108" t="s">
        <v>3</v>
      </c>
      <c r="F108" t="s">
        <v>89</v>
      </c>
      <c r="G108" t="s">
        <v>17</v>
      </c>
      <c r="H108">
        <v>4</v>
      </c>
      <c r="I108">
        <v>0</v>
      </c>
      <c r="J108" t="s">
        <v>2</v>
      </c>
      <c r="K108" t="s">
        <v>2</v>
      </c>
      <c r="L108">
        <v>12</v>
      </c>
      <c r="M108">
        <v>0</v>
      </c>
      <c r="N108">
        <v>0</v>
      </c>
      <c r="O108">
        <v>0</v>
      </c>
      <c r="P108">
        <v>0</v>
      </c>
      <c r="Q108">
        <v>90</v>
      </c>
      <c r="R108">
        <v>360</v>
      </c>
      <c r="S108">
        <v>42.12</v>
      </c>
    </row>
    <row r="109" spans="1:19" x14ac:dyDescent="0.25">
      <c r="A109" t="s">
        <v>2</v>
      </c>
      <c r="B109" t="s">
        <v>2</v>
      </c>
      <c r="C109">
        <v>0</v>
      </c>
      <c r="D109" t="s">
        <v>2</v>
      </c>
      <c r="E109" t="s">
        <v>3</v>
      </c>
      <c r="F109" t="s">
        <v>2</v>
      </c>
      <c r="G109" t="s">
        <v>2</v>
      </c>
      <c r="H109">
        <v>10</v>
      </c>
      <c r="I109">
        <v>0</v>
      </c>
      <c r="J109" t="s">
        <v>2</v>
      </c>
      <c r="K109" t="s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1203.31</v>
      </c>
      <c r="S109">
        <v>0</v>
      </c>
    </row>
    <row r="110" spans="1:19" x14ac:dyDescent="0.25">
      <c r="A110" t="s">
        <v>90</v>
      </c>
      <c r="B110" t="s">
        <v>91</v>
      </c>
      <c r="C110">
        <v>0</v>
      </c>
      <c r="D110" t="s">
        <v>2</v>
      </c>
      <c r="E110" t="s">
        <v>3</v>
      </c>
      <c r="F110" t="s">
        <v>2</v>
      </c>
      <c r="G110" t="s">
        <v>2</v>
      </c>
      <c r="H110">
        <v>0</v>
      </c>
      <c r="I110">
        <v>0</v>
      </c>
      <c r="J110" t="s">
        <v>2</v>
      </c>
      <c r="K110" t="s">
        <v>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25">
      <c r="A111" t="s">
        <v>2</v>
      </c>
      <c r="B111" t="s">
        <v>2</v>
      </c>
      <c r="C111">
        <v>0</v>
      </c>
      <c r="D111" t="s">
        <v>2</v>
      </c>
      <c r="E111" t="s">
        <v>3</v>
      </c>
      <c r="F111" t="s">
        <v>12</v>
      </c>
      <c r="G111" t="s">
        <v>13</v>
      </c>
      <c r="H111">
        <v>1</v>
      </c>
      <c r="I111">
        <v>0</v>
      </c>
      <c r="J111" t="s">
        <v>2</v>
      </c>
      <c r="K111" t="s">
        <v>2</v>
      </c>
      <c r="L111">
        <v>18</v>
      </c>
      <c r="M111">
        <v>0</v>
      </c>
      <c r="N111">
        <v>0</v>
      </c>
      <c r="O111">
        <v>0</v>
      </c>
      <c r="P111">
        <v>0</v>
      </c>
      <c r="Q111">
        <v>305.08</v>
      </c>
      <c r="R111">
        <v>305.08</v>
      </c>
      <c r="S111">
        <v>52.99</v>
      </c>
    </row>
    <row r="112" spans="1:19" x14ac:dyDescent="0.25">
      <c r="A112" t="s">
        <v>2</v>
      </c>
      <c r="B112" t="s">
        <v>2</v>
      </c>
      <c r="C112">
        <v>0</v>
      </c>
      <c r="D112" t="s">
        <v>2</v>
      </c>
      <c r="E112" t="s">
        <v>3</v>
      </c>
      <c r="F112" t="s">
        <v>2</v>
      </c>
      <c r="G112" t="s">
        <v>2</v>
      </c>
      <c r="H112">
        <v>1</v>
      </c>
      <c r="I112">
        <v>0</v>
      </c>
      <c r="J112" t="s">
        <v>2</v>
      </c>
      <c r="K112" t="s">
        <v>2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305.08</v>
      </c>
      <c r="S112">
        <v>0</v>
      </c>
    </row>
    <row r="113" spans="1:19" x14ac:dyDescent="0.25">
      <c r="A113" t="s">
        <v>92</v>
      </c>
      <c r="B113" t="s">
        <v>93</v>
      </c>
      <c r="C113">
        <v>0</v>
      </c>
      <c r="D113" t="s">
        <v>2</v>
      </c>
      <c r="E113" t="s">
        <v>3</v>
      </c>
      <c r="F113" t="s">
        <v>2</v>
      </c>
      <c r="G113" t="s">
        <v>2</v>
      </c>
      <c r="H113">
        <v>0</v>
      </c>
      <c r="I113">
        <v>0</v>
      </c>
      <c r="J113" t="s">
        <v>2</v>
      </c>
      <c r="K113" t="s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25">
      <c r="A114" t="s">
        <v>2</v>
      </c>
      <c r="B114" t="s">
        <v>2</v>
      </c>
      <c r="C114">
        <v>0</v>
      </c>
      <c r="D114" t="s">
        <v>2</v>
      </c>
      <c r="E114" t="s">
        <v>3</v>
      </c>
      <c r="F114" t="s">
        <v>45</v>
      </c>
      <c r="G114" t="s">
        <v>17</v>
      </c>
      <c r="H114">
        <v>40</v>
      </c>
      <c r="I114">
        <v>0</v>
      </c>
      <c r="J114" t="s">
        <v>2</v>
      </c>
      <c r="K114" t="s">
        <v>2</v>
      </c>
      <c r="L114">
        <v>18</v>
      </c>
      <c r="M114">
        <v>0</v>
      </c>
      <c r="N114">
        <v>0</v>
      </c>
      <c r="O114">
        <v>0</v>
      </c>
      <c r="P114">
        <v>0</v>
      </c>
      <c r="Q114">
        <v>134.22999999999999</v>
      </c>
      <c r="R114">
        <v>5369.2</v>
      </c>
      <c r="S114">
        <v>937.46</v>
      </c>
    </row>
    <row r="115" spans="1:19" x14ac:dyDescent="0.25">
      <c r="A115" t="s">
        <v>2</v>
      </c>
      <c r="B115" t="s">
        <v>2</v>
      </c>
      <c r="C115">
        <v>0</v>
      </c>
      <c r="D115" t="s">
        <v>2</v>
      </c>
      <c r="E115" t="s">
        <v>3</v>
      </c>
      <c r="F115" t="s">
        <v>2</v>
      </c>
      <c r="G115" t="s">
        <v>2</v>
      </c>
      <c r="H115">
        <v>40</v>
      </c>
      <c r="I115">
        <v>0</v>
      </c>
      <c r="J115" t="s">
        <v>2</v>
      </c>
      <c r="K115" t="s">
        <v>2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5369.2</v>
      </c>
      <c r="S115">
        <v>0</v>
      </c>
    </row>
    <row r="116" spans="1:19" x14ac:dyDescent="0.25">
      <c r="A116" t="s">
        <v>94</v>
      </c>
      <c r="B116" t="s">
        <v>95</v>
      </c>
      <c r="C116">
        <v>0</v>
      </c>
      <c r="D116" t="s">
        <v>2</v>
      </c>
      <c r="E116" t="s">
        <v>3</v>
      </c>
      <c r="F116" t="s">
        <v>2</v>
      </c>
      <c r="G116" t="s">
        <v>2</v>
      </c>
      <c r="H116">
        <v>0</v>
      </c>
      <c r="I116">
        <v>0</v>
      </c>
      <c r="J116" t="s">
        <v>2</v>
      </c>
      <c r="K116" t="s">
        <v>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25">
      <c r="A117" t="s">
        <v>2</v>
      </c>
      <c r="B117" t="s">
        <v>2</v>
      </c>
      <c r="C117">
        <v>0</v>
      </c>
      <c r="D117" t="s">
        <v>2</v>
      </c>
      <c r="E117" t="s">
        <v>3</v>
      </c>
      <c r="F117" t="s">
        <v>74</v>
      </c>
      <c r="G117" t="s">
        <v>17</v>
      </c>
      <c r="H117">
        <v>2</v>
      </c>
      <c r="I117">
        <v>0</v>
      </c>
      <c r="J117" t="s">
        <v>2</v>
      </c>
      <c r="K117" t="s">
        <v>2</v>
      </c>
      <c r="L117">
        <v>18</v>
      </c>
      <c r="M117">
        <v>0</v>
      </c>
      <c r="N117">
        <v>0</v>
      </c>
      <c r="O117">
        <v>0</v>
      </c>
      <c r="P117">
        <v>0</v>
      </c>
      <c r="Q117">
        <v>115.93</v>
      </c>
      <c r="R117">
        <v>231.86</v>
      </c>
      <c r="S117">
        <v>40.479999999999997</v>
      </c>
    </row>
    <row r="118" spans="1:19" x14ac:dyDescent="0.25">
      <c r="A118" t="s">
        <v>2</v>
      </c>
      <c r="B118" t="s">
        <v>2</v>
      </c>
      <c r="C118">
        <v>0</v>
      </c>
      <c r="D118" t="s">
        <v>2</v>
      </c>
      <c r="E118" t="s">
        <v>3</v>
      </c>
      <c r="F118" t="s">
        <v>2</v>
      </c>
      <c r="G118" t="s">
        <v>2</v>
      </c>
      <c r="H118">
        <v>2</v>
      </c>
      <c r="I118">
        <v>0</v>
      </c>
      <c r="J118" t="s">
        <v>2</v>
      </c>
      <c r="K118" t="s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231.86</v>
      </c>
      <c r="S118">
        <v>0</v>
      </c>
    </row>
    <row r="119" spans="1:19" x14ac:dyDescent="0.25">
      <c r="A119" t="s">
        <v>96</v>
      </c>
      <c r="B119" t="s">
        <v>97</v>
      </c>
      <c r="C119">
        <v>0</v>
      </c>
      <c r="D119" t="s">
        <v>2</v>
      </c>
      <c r="E119" t="s">
        <v>3</v>
      </c>
      <c r="F119" t="s">
        <v>2</v>
      </c>
      <c r="G119" t="s">
        <v>2</v>
      </c>
      <c r="H119">
        <v>0</v>
      </c>
      <c r="I119">
        <v>0</v>
      </c>
      <c r="J119" t="s">
        <v>2</v>
      </c>
      <c r="K119" t="s">
        <v>2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25">
      <c r="A120" t="s">
        <v>2</v>
      </c>
      <c r="B120" t="s">
        <v>2</v>
      </c>
      <c r="C120">
        <v>0</v>
      </c>
      <c r="D120" t="s">
        <v>2</v>
      </c>
      <c r="E120" t="s">
        <v>3</v>
      </c>
      <c r="F120" t="s">
        <v>74</v>
      </c>
      <c r="G120" t="s">
        <v>17</v>
      </c>
      <c r="H120">
        <v>12</v>
      </c>
      <c r="I120">
        <v>0</v>
      </c>
      <c r="J120" t="s">
        <v>2</v>
      </c>
      <c r="K120" t="s">
        <v>2</v>
      </c>
      <c r="L120">
        <v>18</v>
      </c>
      <c r="M120">
        <v>0</v>
      </c>
      <c r="N120">
        <v>0</v>
      </c>
      <c r="O120">
        <v>0</v>
      </c>
      <c r="P120">
        <v>0</v>
      </c>
      <c r="Q120">
        <v>115.93</v>
      </c>
      <c r="R120">
        <v>1391.16</v>
      </c>
      <c r="S120">
        <v>240.39</v>
      </c>
    </row>
    <row r="121" spans="1:19" x14ac:dyDescent="0.25">
      <c r="A121" t="s">
        <v>2</v>
      </c>
      <c r="B121" t="s">
        <v>2</v>
      </c>
      <c r="C121">
        <v>0</v>
      </c>
      <c r="D121" t="s">
        <v>2</v>
      </c>
      <c r="E121" t="s">
        <v>3</v>
      </c>
      <c r="F121" t="s">
        <v>2</v>
      </c>
      <c r="G121" t="s">
        <v>2</v>
      </c>
      <c r="H121">
        <v>12</v>
      </c>
      <c r="I121">
        <v>0</v>
      </c>
      <c r="J121" t="s">
        <v>2</v>
      </c>
      <c r="K121" t="s">
        <v>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1391.16</v>
      </c>
      <c r="S121">
        <v>0</v>
      </c>
    </row>
    <row r="122" spans="1:19" x14ac:dyDescent="0.25">
      <c r="A122" t="s">
        <v>98</v>
      </c>
      <c r="B122" t="s">
        <v>99</v>
      </c>
      <c r="C122">
        <v>0</v>
      </c>
      <c r="D122" t="s">
        <v>2</v>
      </c>
      <c r="E122" t="s">
        <v>3</v>
      </c>
      <c r="F122" t="s">
        <v>2</v>
      </c>
      <c r="G122" t="s">
        <v>2</v>
      </c>
      <c r="H122">
        <v>0</v>
      </c>
      <c r="I122">
        <v>0</v>
      </c>
      <c r="J122" t="s">
        <v>2</v>
      </c>
      <c r="K122" t="s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25">
      <c r="A123" t="s">
        <v>2</v>
      </c>
      <c r="B123" t="s">
        <v>2</v>
      </c>
      <c r="C123">
        <v>0</v>
      </c>
      <c r="D123" t="s">
        <v>2</v>
      </c>
      <c r="E123" t="s">
        <v>3</v>
      </c>
      <c r="F123" t="s">
        <v>45</v>
      </c>
      <c r="G123" t="s">
        <v>17</v>
      </c>
      <c r="H123">
        <v>1</v>
      </c>
      <c r="I123">
        <v>0</v>
      </c>
      <c r="J123" t="s">
        <v>2</v>
      </c>
      <c r="K123" t="s">
        <v>2</v>
      </c>
      <c r="L123">
        <v>18</v>
      </c>
      <c r="M123">
        <v>0</v>
      </c>
      <c r="N123">
        <v>0</v>
      </c>
      <c r="O123">
        <v>0</v>
      </c>
      <c r="P123">
        <v>0</v>
      </c>
      <c r="Q123">
        <v>134.22999999999999</v>
      </c>
      <c r="R123">
        <v>134.22999999999999</v>
      </c>
      <c r="S123">
        <v>23.44</v>
      </c>
    </row>
    <row r="124" spans="1:19" x14ac:dyDescent="0.25">
      <c r="A124" t="s">
        <v>2</v>
      </c>
      <c r="B124" t="s">
        <v>2</v>
      </c>
      <c r="C124">
        <v>0</v>
      </c>
      <c r="D124" t="s">
        <v>2</v>
      </c>
      <c r="E124" t="s">
        <v>3</v>
      </c>
      <c r="F124" t="s">
        <v>2</v>
      </c>
      <c r="G124" t="s">
        <v>2</v>
      </c>
      <c r="H124">
        <v>1</v>
      </c>
      <c r="I124">
        <v>0</v>
      </c>
      <c r="J124" t="s">
        <v>2</v>
      </c>
      <c r="K124" t="s">
        <v>2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134.22999999999999</v>
      </c>
      <c r="S124">
        <v>0</v>
      </c>
    </row>
    <row r="125" spans="1:19" x14ac:dyDescent="0.25">
      <c r="A125" t="s">
        <v>100</v>
      </c>
      <c r="B125" t="s">
        <v>101</v>
      </c>
      <c r="C125">
        <v>0</v>
      </c>
      <c r="D125" t="s">
        <v>2</v>
      </c>
      <c r="E125" t="s">
        <v>3</v>
      </c>
      <c r="F125" t="s">
        <v>2</v>
      </c>
      <c r="G125" t="s">
        <v>2</v>
      </c>
      <c r="H125">
        <v>0</v>
      </c>
      <c r="I125">
        <v>0</v>
      </c>
      <c r="J125" t="s">
        <v>2</v>
      </c>
      <c r="K125" t="s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25">
      <c r="A126" t="s">
        <v>2</v>
      </c>
      <c r="B126" t="s">
        <v>2</v>
      </c>
      <c r="C126">
        <v>0</v>
      </c>
      <c r="D126" t="s">
        <v>2</v>
      </c>
      <c r="E126" t="s">
        <v>3</v>
      </c>
      <c r="F126" t="s">
        <v>51</v>
      </c>
      <c r="G126" t="s">
        <v>5</v>
      </c>
      <c r="H126">
        <v>1</v>
      </c>
      <c r="I126">
        <v>0</v>
      </c>
      <c r="J126" t="s">
        <v>2</v>
      </c>
      <c r="K126" t="s">
        <v>2</v>
      </c>
      <c r="L126">
        <v>12</v>
      </c>
      <c r="M126">
        <v>0</v>
      </c>
      <c r="N126">
        <v>0</v>
      </c>
      <c r="O126">
        <v>0</v>
      </c>
      <c r="P126">
        <v>0</v>
      </c>
      <c r="Q126">
        <v>96.42</v>
      </c>
      <c r="R126">
        <v>96.42</v>
      </c>
      <c r="S126">
        <v>11.22</v>
      </c>
    </row>
    <row r="127" spans="1:19" x14ac:dyDescent="0.25">
      <c r="A127" t="s">
        <v>2</v>
      </c>
      <c r="B127" t="s">
        <v>2</v>
      </c>
      <c r="C127">
        <v>0</v>
      </c>
      <c r="D127" t="s">
        <v>2</v>
      </c>
      <c r="E127" t="s">
        <v>3</v>
      </c>
      <c r="F127" t="s">
        <v>2</v>
      </c>
      <c r="G127" t="s">
        <v>2</v>
      </c>
      <c r="H127">
        <v>1</v>
      </c>
      <c r="I127">
        <v>0</v>
      </c>
      <c r="J127" t="s">
        <v>2</v>
      </c>
      <c r="K127" t="s">
        <v>2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96.42</v>
      </c>
      <c r="S127">
        <v>0</v>
      </c>
    </row>
    <row r="128" spans="1:19" x14ac:dyDescent="0.25">
      <c r="A128" t="s">
        <v>102</v>
      </c>
      <c r="B128" t="s">
        <v>103</v>
      </c>
      <c r="C128">
        <v>0</v>
      </c>
      <c r="D128" t="s">
        <v>2</v>
      </c>
      <c r="E128" t="s">
        <v>3</v>
      </c>
      <c r="F128" t="s">
        <v>2</v>
      </c>
      <c r="G128" t="s">
        <v>2</v>
      </c>
      <c r="H128">
        <v>0</v>
      </c>
      <c r="I128">
        <v>0</v>
      </c>
      <c r="J128" t="s">
        <v>2</v>
      </c>
      <c r="K128" t="s">
        <v>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25">
      <c r="A129" t="s">
        <v>2</v>
      </c>
      <c r="B129" t="s">
        <v>2</v>
      </c>
      <c r="C129">
        <v>0</v>
      </c>
      <c r="D129" t="s">
        <v>2</v>
      </c>
      <c r="E129" t="s">
        <v>3</v>
      </c>
      <c r="F129" t="s">
        <v>48</v>
      </c>
      <c r="G129" t="s">
        <v>49</v>
      </c>
      <c r="H129">
        <v>3</v>
      </c>
      <c r="I129">
        <v>0</v>
      </c>
      <c r="J129" t="s">
        <v>2</v>
      </c>
      <c r="K129" t="s">
        <v>2</v>
      </c>
      <c r="L129">
        <v>12</v>
      </c>
      <c r="M129">
        <v>0</v>
      </c>
      <c r="N129">
        <v>0</v>
      </c>
      <c r="O129">
        <v>0</v>
      </c>
      <c r="P129">
        <v>0</v>
      </c>
      <c r="Q129">
        <v>90</v>
      </c>
      <c r="R129">
        <v>270</v>
      </c>
      <c r="S129">
        <v>31.43</v>
      </c>
    </row>
    <row r="130" spans="1:19" x14ac:dyDescent="0.25">
      <c r="A130" t="s">
        <v>2</v>
      </c>
      <c r="B130" t="s">
        <v>2</v>
      </c>
      <c r="C130">
        <v>0</v>
      </c>
      <c r="D130" t="s">
        <v>2</v>
      </c>
      <c r="E130" t="s">
        <v>3</v>
      </c>
      <c r="F130" t="s">
        <v>20</v>
      </c>
      <c r="G130" t="s">
        <v>21</v>
      </c>
      <c r="H130">
        <v>2</v>
      </c>
      <c r="I130">
        <v>0</v>
      </c>
      <c r="J130" t="s">
        <v>2</v>
      </c>
      <c r="K130" t="s">
        <v>2</v>
      </c>
      <c r="L130">
        <v>12</v>
      </c>
      <c r="M130">
        <v>0</v>
      </c>
      <c r="N130">
        <v>0</v>
      </c>
      <c r="O130">
        <v>0</v>
      </c>
      <c r="P130">
        <v>0</v>
      </c>
      <c r="Q130">
        <v>128.57</v>
      </c>
      <c r="R130">
        <v>257.14</v>
      </c>
      <c r="S130">
        <v>29.93</v>
      </c>
    </row>
    <row r="131" spans="1:19" x14ac:dyDescent="0.25">
      <c r="A131" t="s">
        <v>2</v>
      </c>
      <c r="B131" t="s">
        <v>2</v>
      </c>
      <c r="C131">
        <v>0</v>
      </c>
      <c r="D131" t="s">
        <v>2</v>
      </c>
      <c r="E131" t="s">
        <v>3</v>
      </c>
      <c r="F131" t="s">
        <v>4</v>
      </c>
      <c r="G131" t="s">
        <v>5</v>
      </c>
      <c r="H131">
        <v>8</v>
      </c>
      <c r="I131">
        <v>0</v>
      </c>
      <c r="J131" t="s">
        <v>2</v>
      </c>
      <c r="K131" t="s">
        <v>2</v>
      </c>
      <c r="L131">
        <v>18</v>
      </c>
      <c r="M131">
        <v>0</v>
      </c>
      <c r="N131">
        <v>0</v>
      </c>
      <c r="O131">
        <v>0</v>
      </c>
      <c r="P131">
        <v>0</v>
      </c>
      <c r="Q131">
        <v>152.54</v>
      </c>
      <c r="R131">
        <v>1220.32</v>
      </c>
      <c r="S131">
        <v>214.45</v>
      </c>
    </row>
    <row r="132" spans="1:19" x14ac:dyDescent="0.25">
      <c r="A132" t="s">
        <v>2</v>
      </c>
      <c r="B132" t="s">
        <v>2</v>
      </c>
      <c r="C132">
        <v>0</v>
      </c>
      <c r="D132" t="s">
        <v>2</v>
      </c>
      <c r="E132" t="s">
        <v>3</v>
      </c>
      <c r="F132" t="s">
        <v>12</v>
      </c>
      <c r="G132" t="s">
        <v>13</v>
      </c>
      <c r="H132">
        <v>6</v>
      </c>
      <c r="I132">
        <v>0</v>
      </c>
      <c r="J132" t="s">
        <v>2</v>
      </c>
      <c r="K132" t="s">
        <v>2</v>
      </c>
      <c r="L132">
        <v>18</v>
      </c>
      <c r="M132">
        <v>0</v>
      </c>
      <c r="N132">
        <v>0</v>
      </c>
      <c r="O132">
        <v>0</v>
      </c>
      <c r="P132">
        <v>0</v>
      </c>
      <c r="Q132">
        <v>305.08</v>
      </c>
      <c r="R132">
        <v>1830.48</v>
      </c>
      <c r="S132">
        <v>320.44</v>
      </c>
    </row>
    <row r="133" spans="1:19" x14ac:dyDescent="0.25">
      <c r="A133" t="s">
        <v>2</v>
      </c>
      <c r="B133" t="s">
        <v>2</v>
      </c>
      <c r="C133">
        <v>0</v>
      </c>
      <c r="D133" t="s">
        <v>2</v>
      </c>
      <c r="E133" t="s">
        <v>3</v>
      </c>
      <c r="F133" t="s">
        <v>56</v>
      </c>
      <c r="G133" t="s">
        <v>40</v>
      </c>
      <c r="H133">
        <v>5</v>
      </c>
      <c r="I133">
        <v>0</v>
      </c>
      <c r="J133" t="s">
        <v>2</v>
      </c>
      <c r="K133" t="s">
        <v>2</v>
      </c>
      <c r="L133">
        <v>12</v>
      </c>
      <c r="M133">
        <v>0</v>
      </c>
      <c r="N133">
        <v>0</v>
      </c>
      <c r="O133">
        <v>0</v>
      </c>
      <c r="P133">
        <v>0</v>
      </c>
      <c r="Q133">
        <v>141.41999999999999</v>
      </c>
      <c r="R133">
        <v>707.1</v>
      </c>
      <c r="S133">
        <v>82.31</v>
      </c>
    </row>
    <row r="134" spans="1:19" x14ac:dyDescent="0.25">
      <c r="A134" t="s">
        <v>2</v>
      </c>
      <c r="B134" t="s">
        <v>2</v>
      </c>
      <c r="C134">
        <v>0</v>
      </c>
      <c r="D134" t="s">
        <v>2</v>
      </c>
      <c r="E134" t="s">
        <v>3</v>
      </c>
      <c r="F134" t="s">
        <v>2</v>
      </c>
      <c r="G134" t="s">
        <v>2</v>
      </c>
      <c r="H134">
        <v>24</v>
      </c>
      <c r="I134">
        <v>0</v>
      </c>
      <c r="J134" t="s">
        <v>2</v>
      </c>
      <c r="K134" t="s">
        <v>2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4285.04</v>
      </c>
      <c r="S134">
        <v>0</v>
      </c>
    </row>
    <row r="135" spans="1:19" x14ac:dyDescent="0.25">
      <c r="A135" t="s">
        <v>104</v>
      </c>
      <c r="B135" t="s">
        <v>105</v>
      </c>
      <c r="C135">
        <v>0</v>
      </c>
      <c r="D135" t="s">
        <v>2</v>
      </c>
      <c r="E135" t="s">
        <v>3</v>
      </c>
      <c r="F135" t="s">
        <v>2</v>
      </c>
      <c r="G135" t="s">
        <v>2</v>
      </c>
      <c r="H135">
        <v>0</v>
      </c>
      <c r="I135">
        <v>0</v>
      </c>
      <c r="J135" t="s">
        <v>2</v>
      </c>
      <c r="K135" t="s">
        <v>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25">
      <c r="A136" t="s">
        <v>2</v>
      </c>
      <c r="B136" t="s">
        <v>2</v>
      </c>
      <c r="C136">
        <v>0</v>
      </c>
      <c r="D136" t="s">
        <v>2</v>
      </c>
      <c r="E136" t="s">
        <v>3</v>
      </c>
      <c r="F136" t="s">
        <v>12</v>
      </c>
      <c r="G136" t="s">
        <v>13</v>
      </c>
      <c r="H136">
        <v>1</v>
      </c>
      <c r="I136">
        <v>0</v>
      </c>
      <c r="J136" t="s">
        <v>2</v>
      </c>
      <c r="K136" t="s">
        <v>2</v>
      </c>
      <c r="L136">
        <v>18</v>
      </c>
      <c r="M136">
        <v>0</v>
      </c>
      <c r="N136">
        <v>0</v>
      </c>
      <c r="O136">
        <v>0</v>
      </c>
      <c r="P136">
        <v>0</v>
      </c>
      <c r="Q136">
        <v>305.08</v>
      </c>
      <c r="R136">
        <v>305.08</v>
      </c>
      <c r="S136">
        <v>52.99</v>
      </c>
    </row>
    <row r="137" spans="1:19" x14ac:dyDescent="0.25">
      <c r="A137" t="s">
        <v>2</v>
      </c>
      <c r="B137" t="s">
        <v>2</v>
      </c>
      <c r="C137">
        <v>0</v>
      </c>
      <c r="D137" t="s">
        <v>2</v>
      </c>
      <c r="E137" t="s">
        <v>3</v>
      </c>
      <c r="F137" t="s">
        <v>2</v>
      </c>
      <c r="G137" t="s">
        <v>2</v>
      </c>
      <c r="H137">
        <v>1</v>
      </c>
      <c r="I137">
        <v>0</v>
      </c>
      <c r="J137" t="s">
        <v>2</v>
      </c>
      <c r="K137" t="s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305.08</v>
      </c>
      <c r="S137">
        <v>0</v>
      </c>
    </row>
    <row r="138" spans="1:19" x14ac:dyDescent="0.25">
      <c r="A138" t="s">
        <v>106</v>
      </c>
      <c r="B138" t="s">
        <v>107</v>
      </c>
      <c r="C138">
        <v>0</v>
      </c>
      <c r="D138" t="s">
        <v>2</v>
      </c>
      <c r="E138" t="s">
        <v>3</v>
      </c>
      <c r="F138" t="s">
        <v>2</v>
      </c>
      <c r="G138" t="s">
        <v>2</v>
      </c>
      <c r="H138">
        <v>0</v>
      </c>
      <c r="I138">
        <v>0</v>
      </c>
      <c r="J138" t="s">
        <v>2</v>
      </c>
      <c r="K138" t="s">
        <v>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25">
      <c r="A139" t="s">
        <v>2</v>
      </c>
      <c r="B139" t="s">
        <v>2</v>
      </c>
      <c r="C139">
        <v>0</v>
      </c>
      <c r="D139" t="s">
        <v>2</v>
      </c>
      <c r="E139" t="s">
        <v>3</v>
      </c>
      <c r="F139" t="s">
        <v>12</v>
      </c>
      <c r="G139" t="s">
        <v>13</v>
      </c>
      <c r="H139">
        <v>1</v>
      </c>
      <c r="I139">
        <v>0</v>
      </c>
      <c r="J139" t="s">
        <v>2</v>
      </c>
      <c r="K139" t="s">
        <v>2</v>
      </c>
      <c r="L139">
        <v>18</v>
      </c>
      <c r="M139">
        <v>0</v>
      </c>
      <c r="N139">
        <v>0</v>
      </c>
      <c r="O139">
        <v>0</v>
      </c>
      <c r="P139">
        <v>0</v>
      </c>
      <c r="Q139">
        <v>305.08</v>
      </c>
      <c r="R139">
        <v>305.08</v>
      </c>
      <c r="S139">
        <v>54.2</v>
      </c>
    </row>
    <row r="140" spans="1:19" x14ac:dyDescent="0.25">
      <c r="A140" t="s">
        <v>2</v>
      </c>
      <c r="B140" t="s">
        <v>2</v>
      </c>
      <c r="C140">
        <v>0</v>
      </c>
      <c r="D140" t="s">
        <v>2</v>
      </c>
      <c r="E140" t="s">
        <v>3</v>
      </c>
      <c r="F140" t="s">
        <v>2</v>
      </c>
      <c r="G140" t="s">
        <v>2</v>
      </c>
      <c r="H140">
        <v>1</v>
      </c>
      <c r="I140">
        <v>0</v>
      </c>
      <c r="J140" t="s">
        <v>2</v>
      </c>
      <c r="K140" t="s">
        <v>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305.08</v>
      </c>
      <c r="S140">
        <v>0</v>
      </c>
    </row>
    <row r="141" spans="1:19" x14ac:dyDescent="0.25">
      <c r="A141" t="s">
        <v>108</v>
      </c>
      <c r="B141" t="s">
        <v>109</v>
      </c>
      <c r="C141">
        <v>0</v>
      </c>
      <c r="D141" t="s">
        <v>2</v>
      </c>
      <c r="E141" t="s">
        <v>3</v>
      </c>
      <c r="F141" t="s">
        <v>2</v>
      </c>
      <c r="G141" t="s">
        <v>2</v>
      </c>
      <c r="H141">
        <v>0</v>
      </c>
      <c r="I141">
        <v>0</v>
      </c>
      <c r="J141" t="s">
        <v>2</v>
      </c>
      <c r="K141" t="s">
        <v>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25">
      <c r="A142" t="s">
        <v>2</v>
      </c>
      <c r="B142" t="s">
        <v>2</v>
      </c>
      <c r="C142">
        <v>0</v>
      </c>
      <c r="D142" t="s">
        <v>2</v>
      </c>
      <c r="E142" t="s">
        <v>3</v>
      </c>
      <c r="F142" t="s">
        <v>24</v>
      </c>
      <c r="G142" t="s">
        <v>25</v>
      </c>
      <c r="H142">
        <v>1</v>
      </c>
      <c r="I142">
        <v>0</v>
      </c>
      <c r="J142" t="s">
        <v>2</v>
      </c>
      <c r="K142" t="s">
        <v>2</v>
      </c>
      <c r="L142">
        <v>12</v>
      </c>
      <c r="M142">
        <v>0</v>
      </c>
      <c r="N142">
        <v>0</v>
      </c>
      <c r="O142">
        <v>0</v>
      </c>
      <c r="P142">
        <v>0</v>
      </c>
      <c r="Q142">
        <v>128.57</v>
      </c>
      <c r="R142">
        <v>128.57</v>
      </c>
      <c r="S142">
        <v>14.97</v>
      </c>
    </row>
    <row r="143" spans="1:19" x14ac:dyDescent="0.25">
      <c r="A143" t="s">
        <v>2</v>
      </c>
      <c r="B143" t="s">
        <v>2</v>
      </c>
      <c r="C143">
        <v>0</v>
      </c>
      <c r="D143" t="s">
        <v>2</v>
      </c>
      <c r="E143" t="s">
        <v>3</v>
      </c>
      <c r="F143" t="s">
        <v>2</v>
      </c>
      <c r="G143" t="s">
        <v>2</v>
      </c>
      <c r="H143">
        <v>1</v>
      </c>
      <c r="I143">
        <v>0</v>
      </c>
      <c r="J143" t="s">
        <v>2</v>
      </c>
      <c r="K143" t="s">
        <v>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128.57</v>
      </c>
      <c r="S143">
        <v>0</v>
      </c>
    </row>
    <row r="144" spans="1:19" x14ac:dyDescent="0.25">
      <c r="A144" t="s">
        <v>110</v>
      </c>
      <c r="B144" t="s">
        <v>111</v>
      </c>
      <c r="C144">
        <v>0</v>
      </c>
      <c r="D144" t="s">
        <v>2</v>
      </c>
      <c r="E144" t="s">
        <v>3</v>
      </c>
      <c r="F144" t="s">
        <v>2</v>
      </c>
      <c r="G144" t="s">
        <v>2</v>
      </c>
      <c r="H144">
        <v>0</v>
      </c>
      <c r="I144">
        <v>0</v>
      </c>
      <c r="J144" t="s">
        <v>2</v>
      </c>
      <c r="K144" t="s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25">
      <c r="A145" t="s">
        <v>2</v>
      </c>
      <c r="B145" t="s">
        <v>2</v>
      </c>
      <c r="C145">
        <v>0</v>
      </c>
      <c r="D145" t="s">
        <v>2</v>
      </c>
      <c r="E145" t="s">
        <v>3</v>
      </c>
      <c r="F145" t="s">
        <v>20</v>
      </c>
      <c r="G145" t="s">
        <v>21</v>
      </c>
      <c r="H145">
        <v>2</v>
      </c>
      <c r="I145">
        <v>0</v>
      </c>
      <c r="J145" t="s">
        <v>2</v>
      </c>
      <c r="K145" t="s">
        <v>2</v>
      </c>
      <c r="L145">
        <v>12</v>
      </c>
      <c r="M145">
        <v>0</v>
      </c>
      <c r="N145">
        <v>0</v>
      </c>
      <c r="O145">
        <v>0</v>
      </c>
      <c r="P145">
        <v>0</v>
      </c>
      <c r="Q145">
        <v>128.57</v>
      </c>
      <c r="R145">
        <v>257.14</v>
      </c>
      <c r="S145">
        <v>30.19</v>
      </c>
    </row>
    <row r="146" spans="1:19" x14ac:dyDescent="0.25">
      <c r="A146" t="s">
        <v>2</v>
      </c>
      <c r="B146" t="s">
        <v>2</v>
      </c>
      <c r="C146">
        <v>0</v>
      </c>
      <c r="D146" t="s">
        <v>2</v>
      </c>
      <c r="E146" t="s">
        <v>3</v>
      </c>
      <c r="F146" t="s">
        <v>112</v>
      </c>
      <c r="G146" t="s">
        <v>43</v>
      </c>
      <c r="H146">
        <v>2</v>
      </c>
      <c r="I146">
        <v>0</v>
      </c>
      <c r="J146" t="s">
        <v>2</v>
      </c>
      <c r="K146" t="s">
        <v>2</v>
      </c>
      <c r="L146">
        <v>18</v>
      </c>
      <c r="M146">
        <v>0</v>
      </c>
      <c r="N146">
        <v>0</v>
      </c>
      <c r="O146">
        <v>0</v>
      </c>
      <c r="P146">
        <v>0</v>
      </c>
      <c r="Q146">
        <v>73.22</v>
      </c>
      <c r="R146">
        <v>146.44</v>
      </c>
      <c r="S146">
        <v>25.7</v>
      </c>
    </row>
    <row r="147" spans="1:19" x14ac:dyDescent="0.25">
      <c r="A147" t="s">
        <v>2</v>
      </c>
      <c r="B147" t="s">
        <v>2</v>
      </c>
      <c r="C147">
        <v>0</v>
      </c>
      <c r="D147" t="s">
        <v>2</v>
      </c>
      <c r="E147" t="s">
        <v>3</v>
      </c>
      <c r="F147" t="s">
        <v>42</v>
      </c>
      <c r="G147" t="s">
        <v>43</v>
      </c>
      <c r="H147">
        <v>2</v>
      </c>
      <c r="I147">
        <v>0</v>
      </c>
      <c r="J147" t="s">
        <v>2</v>
      </c>
      <c r="K147" t="s">
        <v>2</v>
      </c>
      <c r="L147">
        <v>18</v>
      </c>
      <c r="M147">
        <v>0</v>
      </c>
      <c r="N147">
        <v>0</v>
      </c>
      <c r="O147">
        <v>0</v>
      </c>
      <c r="P147">
        <v>0</v>
      </c>
      <c r="Q147">
        <v>67.11</v>
      </c>
      <c r="R147">
        <v>134.22</v>
      </c>
      <c r="S147">
        <v>23.43</v>
      </c>
    </row>
    <row r="148" spans="1:19" x14ac:dyDescent="0.25">
      <c r="A148" t="s">
        <v>2</v>
      </c>
      <c r="B148" t="s">
        <v>2</v>
      </c>
      <c r="C148">
        <v>0</v>
      </c>
      <c r="D148" t="s">
        <v>2</v>
      </c>
      <c r="E148" t="s">
        <v>3</v>
      </c>
      <c r="F148" t="s">
        <v>113</v>
      </c>
      <c r="G148" t="s">
        <v>114</v>
      </c>
      <c r="H148">
        <v>6</v>
      </c>
      <c r="I148">
        <v>0</v>
      </c>
      <c r="J148" t="s">
        <v>2</v>
      </c>
      <c r="K148" t="s">
        <v>2</v>
      </c>
      <c r="L148">
        <v>12</v>
      </c>
      <c r="M148">
        <v>0</v>
      </c>
      <c r="N148">
        <v>0</v>
      </c>
      <c r="O148">
        <v>0</v>
      </c>
      <c r="P148">
        <v>0</v>
      </c>
      <c r="Q148">
        <v>28.28</v>
      </c>
      <c r="R148">
        <v>169.68</v>
      </c>
      <c r="S148">
        <v>20.100000000000001</v>
      </c>
    </row>
    <row r="149" spans="1:19" x14ac:dyDescent="0.25">
      <c r="A149" t="s">
        <v>2</v>
      </c>
      <c r="B149" t="s">
        <v>2</v>
      </c>
      <c r="C149">
        <v>0</v>
      </c>
      <c r="D149" t="s">
        <v>2</v>
      </c>
      <c r="E149" t="s">
        <v>3</v>
      </c>
      <c r="F149" t="s">
        <v>2</v>
      </c>
      <c r="G149" t="s">
        <v>2</v>
      </c>
      <c r="H149">
        <v>12</v>
      </c>
      <c r="I149">
        <v>0</v>
      </c>
      <c r="J149" t="s">
        <v>2</v>
      </c>
      <c r="K149" t="s">
        <v>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707.48</v>
      </c>
      <c r="S149">
        <v>0</v>
      </c>
    </row>
    <row r="150" spans="1:19" x14ac:dyDescent="0.25">
      <c r="A150" t="s">
        <v>115</v>
      </c>
      <c r="B150" t="s">
        <v>37</v>
      </c>
      <c r="C150">
        <v>0</v>
      </c>
      <c r="D150" t="s">
        <v>2</v>
      </c>
      <c r="E150" t="s">
        <v>3</v>
      </c>
      <c r="F150" t="s">
        <v>2</v>
      </c>
      <c r="G150" t="s">
        <v>2</v>
      </c>
      <c r="H150">
        <v>0</v>
      </c>
      <c r="I150">
        <v>0</v>
      </c>
      <c r="J150" t="s">
        <v>2</v>
      </c>
      <c r="K150" t="s">
        <v>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25">
      <c r="A151" t="s">
        <v>2</v>
      </c>
      <c r="B151" t="s">
        <v>2</v>
      </c>
      <c r="C151">
        <v>0</v>
      </c>
      <c r="D151" t="s">
        <v>2</v>
      </c>
      <c r="E151" t="s">
        <v>3</v>
      </c>
      <c r="F151" t="s">
        <v>38</v>
      </c>
      <c r="G151" t="s">
        <v>17</v>
      </c>
      <c r="H151">
        <v>31</v>
      </c>
      <c r="I151" s="4">
        <v>3</v>
      </c>
      <c r="J151" t="s">
        <v>2</v>
      </c>
      <c r="K151" t="s">
        <v>2</v>
      </c>
      <c r="L151">
        <v>12</v>
      </c>
      <c r="M151">
        <v>0</v>
      </c>
      <c r="N151">
        <v>0</v>
      </c>
      <c r="O151">
        <v>0</v>
      </c>
      <c r="P151">
        <v>0</v>
      </c>
      <c r="Q151">
        <v>42.42</v>
      </c>
      <c r="R151">
        <v>1315.02</v>
      </c>
      <c r="S151">
        <v>154.6</v>
      </c>
    </row>
    <row r="152" spans="1:19" x14ac:dyDescent="0.25">
      <c r="A152" t="s">
        <v>2</v>
      </c>
      <c r="B152" t="s">
        <v>2</v>
      </c>
      <c r="C152">
        <v>0</v>
      </c>
      <c r="D152" t="s">
        <v>2</v>
      </c>
      <c r="E152" t="s">
        <v>3</v>
      </c>
      <c r="F152" t="s">
        <v>41</v>
      </c>
      <c r="G152" t="s">
        <v>13</v>
      </c>
      <c r="H152">
        <v>10</v>
      </c>
      <c r="I152">
        <v>0</v>
      </c>
      <c r="J152" t="s">
        <v>2</v>
      </c>
      <c r="K152" t="s">
        <v>2</v>
      </c>
      <c r="L152">
        <v>12</v>
      </c>
      <c r="M152">
        <v>0</v>
      </c>
      <c r="N152">
        <v>0</v>
      </c>
      <c r="O152">
        <v>0</v>
      </c>
      <c r="P152">
        <v>0</v>
      </c>
      <c r="Q152">
        <v>102.85</v>
      </c>
      <c r="R152">
        <v>1028.5</v>
      </c>
      <c r="S152">
        <v>119.72</v>
      </c>
    </row>
    <row r="153" spans="1:19" x14ac:dyDescent="0.25">
      <c r="A153" t="s">
        <v>2</v>
      </c>
      <c r="B153" t="s">
        <v>2</v>
      </c>
      <c r="C153">
        <v>0</v>
      </c>
      <c r="D153" t="s">
        <v>2</v>
      </c>
      <c r="E153" t="s">
        <v>3</v>
      </c>
      <c r="F153" t="s">
        <v>116</v>
      </c>
      <c r="G153" t="s">
        <v>17</v>
      </c>
      <c r="H153">
        <v>10</v>
      </c>
      <c r="I153" s="4">
        <v>1</v>
      </c>
      <c r="J153" t="s">
        <v>2</v>
      </c>
      <c r="K153" t="s">
        <v>2</v>
      </c>
      <c r="L153">
        <v>12</v>
      </c>
      <c r="M153">
        <v>0</v>
      </c>
      <c r="N153">
        <v>0</v>
      </c>
      <c r="O153">
        <v>0</v>
      </c>
      <c r="P153">
        <v>0</v>
      </c>
      <c r="Q153">
        <v>83.57</v>
      </c>
      <c r="R153">
        <v>835.7</v>
      </c>
      <c r="S153">
        <v>100.28</v>
      </c>
    </row>
    <row r="154" spans="1:19" x14ac:dyDescent="0.25">
      <c r="A154" t="s">
        <v>2</v>
      </c>
      <c r="B154" t="s">
        <v>2</v>
      </c>
      <c r="C154">
        <v>0</v>
      </c>
      <c r="D154" t="s">
        <v>2</v>
      </c>
      <c r="E154" t="s">
        <v>3</v>
      </c>
      <c r="F154" t="s">
        <v>42</v>
      </c>
      <c r="G154" t="s">
        <v>43</v>
      </c>
      <c r="H154">
        <v>20</v>
      </c>
      <c r="I154" s="4">
        <v>2</v>
      </c>
      <c r="J154" t="s">
        <v>2</v>
      </c>
      <c r="K154" t="s">
        <v>2</v>
      </c>
      <c r="L154">
        <v>18</v>
      </c>
      <c r="M154">
        <v>0</v>
      </c>
      <c r="N154">
        <v>0</v>
      </c>
      <c r="O154">
        <v>0</v>
      </c>
      <c r="P154">
        <v>0</v>
      </c>
      <c r="Q154">
        <v>67.11</v>
      </c>
      <c r="R154">
        <v>1342.2</v>
      </c>
      <c r="S154">
        <v>234.35</v>
      </c>
    </row>
    <row r="155" spans="1:19" x14ac:dyDescent="0.25">
      <c r="A155" t="s">
        <v>2</v>
      </c>
      <c r="B155" t="s">
        <v>2</v>
      </c>
      <c r="C155">
        <v>0</v>
      </c>
      <c r="D155" t="s">
        <v>2</v>
      </c>
      <c r="E155" t="s">
        <v>3</v>
      </c>
      <c r="F155" t="s">
        <v>8</v>
      </c>
      <c r="G155" t="s">
        <v>9</v>
      </c>
      <c r="H155">
        <v>30</v>
      </c>
      <c r="I155" s="4">
        <v>3</v>
      </c>
      <c r="J155" t="s">
        <v>2</v>
      </c>
      <c r="K155" t="s">
        <v>2</v>
      </c>
      <c r="L155">
        <v>18</v>
      </c>
      <c r="M155">
        <v>0</v>
      </c>
      <c r="N155">
        <v>0</v>
      </c>
      <c r="O155">
        <v>0</v>
      </c>
      <c r="P155">
        <v>0</v>
      </c>
      <c r="Q155">
        <v>152.54</v>
      </c>
      <c r="R155">
        <v>4576.2</v>
      </c>
      <c r="S155">
        <v>809.99</v>
      </c>
    </row>
    <row r="156" spans="1:19" x14ac:dyDescent="0.25">
      <c r="A156" t="s">
        <v>2</v>
      </c>
      <c r="B156" t="s">
        <v>2</v>
      </c>
      <c r="C156">
        <v>0</v>
      </c>
      <c r="D156" t="s">
        <v>2</v>
      </c>
      <c r="E156" t="s">
        <v>3</v>
      </c>
      <c r="F156" t="s">
        <v>12</v>
      </c>
      <c r="G156" t="s">
        <v>13</v>
      </c>
      <c r="H156">
        <v>10</v>
      </c>
      <c r="I156" s="4">
        <v>1</v>
      </c>
      <c r="J156" t="s">
        <v>2</v>
      </c>
      <c r="K156" t="s">
        <v>2</v>
      </c>
      <c r="L156">
        <v>18</v>
      </c>
      <c r="M156">
        <v>0</v>
      </c>
      <c r="N156">
        <v>0</v>
      </c>
      <c r="O156">
        <v>0</v>
      </c>
      <c r="P156">
        <v>0</v>
      </c>
      <c r="Q156">
        <v>305.08</v>
      </c>
      <c r="R156">
        <v>3050.8</v>
      </c>
      <c r="S156">
        <v>532.66999999999996</v>
      </c>
    </row>
    <row r="157" spans="1:19" x14ac:dyDescent="0.25">
      <c r="A157" t="s">
        <v>2</v>
      </c>
      <c r="B157" t="s">
        <v>2</v>
      </c>
      <c r="C157">
        <v>0</v>
      </c>
      <c r="D157" t="s">
        <v>2</v>
      </c>
      <c r="E157" t="s">
        <v>3</v>
      </c>
      <c r="F157" t="s">
        <v>2</v>
      </c>
      <c r="G157" t="s">
        <v>2</v>
      </c>
      <c r="H157">
        <v>111</v>
      </c>
      <c r="I157">
        <v>10</v>
      </c>
      <c r="J157" t="s">
        <v>2</v>
      </c>
      <c r="K157" t="s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12148.42</v>
      </c>
      <c r="S157">
        <v>0</v>
      </c>
    </row>
    <row r="158" spans="1:19" x14ac:dyDescent="0.25">
      <c r="A158" t="s">
        <v>117</v>
      </c>
      <c r="B158" t="s">
        <v>118</v>
      </c>
      <c r="C158">
        <v>0</v>
      </c>
      <c r="D158" t="s">
        <v>2</v>
      </c>
      <c r="E158" t="s">
        <v>3</v>
      </c>
      <c r="F158" t="s">
        <v>2</v>
      </c>
      <c r="G158" t="s">
        <v>2</v>
      </c>
      <c r="H158">
        <v>0</v>
      </c>
      <c r="I158">
        <v>0</v>
      </c>
      <c r="J158" t="s">
        <v>2</v>
      </c>
      <c r="K158" t="s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25">
      <c r="A159" t="s">
        <v>2</v>
      </c>
      <c r="B159" t="s">
        <v>2</v>
      </c>
      <c r="C159">
        <v>0</v>
      </c>
      <c r="D159" t="s">
        <v>2</v>
      </c>
      <c r="E159" t="s">
        <v>3</v>
      </c>
      <c r="F159" t="s">
        <v>12</v>
      </c>
      <c r="G159" t="s">
        <v>13</v>
      </c>
      <c r="H159">
        <v>1</v>
      </c>
      <c r="I159">
        <v>0</v>
      </c>
      <c r="J159" t="s">
        <v>2</v>
      </c>
      <c r="K159" t="s">
        <v>2</v>
      </c>
      <c r="L159">
        <v>18</v>
      </c>
      <c r="M159">
        <v>0</v>
      </c>
      <c r="N159">
        <v>0</v>
      </c>
      <c r="O159">
        <v>0</v>
      </c>
      <c r="P159">
        <v>0</v>
      </c>
      <c r="Q159">
        <v>305.08</v>
      </c>
      <c r="R159">
        <v>305.08</v>
      </c>
      <c r="S159">
        <v>54.2</v>
      </c>
    </row>
    <row r="160" spans="1:19" x14ac:dyDescent="0.25">
      <c r="A160" t="s">
        <v>2</v>
      </c>
      <c r="B160" t="s">
        <v>2</v>
      </c>
      <c r="C160">
        <v>0</v>
      </c>
      <c r="D160" t="s">
        <v>2</v>
      </c>
      <c r="E160" t="s">
        <v>3</v>
      </c>
      <c r="F160" t="s">
        <v>2</v>
      </c>
      <c r="G160" t="s">
        <v>2</v>
      </c>
      <c r="H160">
        <v>1</v>
      </c>
      <c r="I160">
        <v>0</v>
      </c>
      <c r="J160" t="s">
        <v>2</v>
      </c>
      <c r="K160" t="s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305.08</v>
      </c>
      <c r="S160">
        <v>0</v>
      </c>
    </row>
    <row r="161" spans="1:19" x14ac:dyDescent="0.25">
      <c r="A161" t="s">
        <v>119</v>
      </c>
      <c r="B161" t="s">
        <v>120</v>
      </c>
      <c r="C161">
        <v>0</v>
      </c>
      <c r="D161" t="s">
        <v>2</v>
      </c>
      <c r="E161" t="s">
        <v>3</v>
      </c>
      <c r="F161" t="s">
        <v>2</v>
      </c>
      <c r="G161" t="s">
        <v>2</v>
      </c>
      <c r="H161">
        <v>0</v>
      </c>
      <c r="I161">
        <v>0</v>
      </c>
      <c r="J161" t="s">
        <v>2</v>
      </c>
      <c r="K161" t="s">
        <v>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25">
      <c r="A162" t="s">
        <v>2</v>
      </c>
      <c r="B162" t="s">
        <v>2</v>
      </c>
      <c r="C162">
        <v>0</v>
      </c>
      <c r="D162" t="s">
        <v>2</v>
      </c>
      <c r="E162" t="s">
        <v>3</v>
      </c>
      <c r="F162" t="s">
        <v>48</v>
      </c>
      <c r="G162" t="s">
        <v>49</v>
      </c>
      <c r="H162">
        <v>1</v>
      </c>
      <c r="I162">
        <v>0</v>
      </c>
      <c r="J162" t="s">
        <v>2</v>
      </c>
      <c r="K162" t="s">
        <v>2</v>
      </c>
      <c r="L162">
        <v>12</v>
      </c>
      <c r="M162">
        <v>0</v>
      </c>
      <c r="N162">
        <v>0</v>
      </c>
      <c r="O162">
        <v>0</v>
      </c>
      <c r="P162">
        <v>0</v>
      </c>
      <c r="Q162">
        <v>90</v>
      </c>
      <c r="R162">
        <v>90</v>
      </c>
      <c r="S162">
        <v>10.48</v>
      </c>
    </row>
    <row r="163" spans="1:19" x14ac:dyDescent="0.25">
      <c r="A163" t="s">
        <v>2</v>
      </c>
      <c r="B163" t="s">
        <v>2</v>
      </c>
      <c r="C163">
        <v>0</v>
      </c>
      <c r="D163" t="s">
        <v>2</v>
      </c>
      <c r="E163" t="s">
        <v>3</v>
      </c>
      <c r="F163" t="s">
        <v>112</v>
      </c>
      <c r="G163" t="s">
        <v>43</v>
      </c>
      <c r="H163">
        <v>1</v>
      </c>
      <c r="I163">
        <v>0</v>
      </c>
      <c r="J163" t="s">
        <v>2</v>
      </c>
      <c r="K163" t="s">
        <v>2</v>
      </c>
      <c r="L163">
        <v>18</v>
      </c>
      <c r="M163">
        <v>0</v>
      </c>
      <c r="N163">
        <v>0</v>
      </c>
      <c r="O163">
        <v>0</v>
      </c>
      <c r="P163">
        <v>0</v>
      </c>
      <c r="Q163">
        <v>73.22</v>
      </c>
      <c r="R163">
        <v>73.22</v>
      </c>
      <c r="S163">
        <v>12.78</v>
      </c>
    </row>
    <row r="164" spans="1:19" x14ac:dyDescent="0.25">
      <c r="A164" t="s">
        <v>2</v>
      </c>
      <c r="B164" t="s">
        <v>2</v>
      </c>
      <c r="C164">
        <v>0</v>
      </c>
      <c r="D164" t="s">
        <v>2</v>
      </c>
      <c r="E164" t="s">
        <v>3</v>
      </c>
      <c r="F164" t="s">
        <v>2</v>
      </c>
      <c r="G164" t="s">
        <v>2</v>
      </c>
      <c r="H164">
        <v>2</v>
      </c>
      <c r="I164">
        <v>0</v>
      </c>
      <c r="J164" t="s">
        <v>2</v>
      </c>
      <c r="K164" t="s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163.22</v>
      </c>
      <c r="S164">
        <v>0</v>
      </c>
    </row>
    <row r="165" spans="1:19" x14ac:dyDescent="0.25">
      <c r="A165" t="s">
        <v>121</v>
      </c>
      <c r="B165" t="s">
        <v>122</v>
      </c>
      <c r="C165">
        <v>0</v>
      </c>
      <c r="D165" t="s">
        <v>2</v>
      </c>
      <c r="E165" t="s">
        <v>3</v>
      </c>
      <c r="F165" t="s">
        <v>2</v>
      </c>
      <c r="G165" t="s">
        <v>2</v>
      </c>
      <c r="H165">
        <v>0</v>
      </c>
      <c r="I165">
        <v>0</v>
      </c>
      <c r="J165" t="s">
        <v>2</v>
      </c>
      <c r="K165" t="s">
        <v>2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25">
      <c r="A166" t="s">
        <v>2</v>
      </c>
      <c r="B166" t="s">
        <v>2</v>
      </c>
      <c r="C166">
        <v>0</v>
      </c>
      <c r="D166" t="s">
        <v>2</v>
      </c>
      <c r="E166" t="s">
        <v>3</v>
      </c>
      <c r="F166" t="s">
        <v>24</v>
      </c>
      <c r="G166" t="s">
        <v>25</v>
      </c>
      <c r="H166">
        <v>1</v>
      </c>
      <c r="I166">
        <v>0</v>
      </c>
      <c r="J166" t="s">
        <v>2</v>
      </c>
      <c r="K166" t="s">
        <v>2</v>
      </c>
      <c r="L166">
        <v>12</v>
      </c>
      <c r="M166">
        <v>0</v>
      </c>
      <c r="N166">
        <v>0</v>
      </c>
      <c r="O166">
        <v>0</v>
      </c>
      <c r="P166">
        <v>0</v>
      </c>
      <c r="Q166">
        <v>128.57</v>
      </c>
      <c r="R166">
        <v>128.57</v>
      </c>
      <c r="S166">
        <v>14.97</v>
      </c>
    </row>
    <row r="167" spans="1:19" x14ac:dyDescent="0.25">
      <c r="A167" t="s">
        <v>2</v>
      </c>
      <c r="B167" t="s">
        <v>2</v>
      </c>
      <c r="C167">
        <v>0</v>
      </c>
      <c r="D167" t="s">
        <v>2</v>
      </c>
      <c r="E167" t="s">
        <v>3</v>
      </c>
      <c r="F167" t="s">
        <v>2</v>
      </c>
      <c r="G167" t="s">
        <v>2</v>
      </c>
      <c r="H167">
        <v>1</v>
      </c>
      <c r="I167">
        <v>0</v>
      </c>
      <c r="J167" t="s">
        <v>2</v>
      </c>
      <c r="K167" t="s">
        <v>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128.57</v>
      </c>
      <c r="S167">
        <v>0</v>
      </c>
    </row>
    <row r="168" spans="1:19" x14ac:dyDescent="0.25">
      <c r="A168" t="s">
        <v>123</v>
      </c>
      <c r="B168" t="s">
        <v>124</v>
      </c>
      <c r="C168">
        <v>0</v>
      </c>
      <c r="D168" t="s">
        <v>2</v>
      </c>
      <c r="E168" t="s">
        <v>3</v>
      </c>
      <c r="F168" t="s">
        <v>2</v>
      </c>
      <c r="G168" t="s">
        <v>2</v>
      </c>
      <c r="H168">
        <v>0</v>
      </c>
      <c r="I168">
        <v>0</v>
      </c>
      <c r="J168" t="s">
        <v>2</v>
      </c>
      <c r="K168" t="s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25">
      <c r="A169" t="s">
        <v>2</v>
      </c>
      <c r="B169" t="s">
        <v>2</v>
      </c>
      <c r="C169">
        <v>0</v>
      </c>
      <c r="D169" t="s">
        <v>2</v>
      </c>
      <c r="E169" t="s">
        <v>3</v>
      </c>
      <c r="F169" t="s">
        <v>12</v>
      </c>
      <c r="G169" t="s">
        <v>13</v>
      </c>
      <c r="H169">
        <v>1</v>
      </c>
      <c r="I169">
        <v>0</v>
      </c>
      <c r="J169" t="s">
        <v>2</v>
      </c>
      <c r="K169" t="s">
        <v>2</v>
      </c>
      <c r="L169">
        <v>18</v>
      </c>
      <c r="M169">
        <v>0</v>
      </c>
      <c r="N169">
        <v>0</v>
      </c>
      <c r="O169">
        <v>0</v>
      </c>
      <c r="P169">
        <v>0</v>
      </c>
      <c r="Q169">
        <v>305.08</v>
      </c>
      <c r="R169">
        <v>305.08</v>
      </c>
      <c r="S169">
        <v>53.27</v>
      </c>
    </row>
    <row r="170" spans="1:19" x14ac:dyDescent="0.25">
      <c r="A170" t="s">
        <v>2</v>
      </c>
      <c r="B170" t="s">
        <v>2</v>
      </c>
      <c r="C170">
        <v>0</v>
      </c>
      <c r="D170" t="s">
        <v>2</v>
      </c>
      <c r="E170" t="s">
        <v>3</v>
      </c>
      <c r="F170" t="s">
        <v>2</v>
      </c>
      <c r="G170" t="s">
        <v>2</v>
      </c>
      <c r="H170">
        <v>1</v>
      </c>
      <c r="I170">
        <v>0</v>
      </c>
      <c r="J170" t="s">
        <v>2</v>
      </c>
      <c r="K170" t="s">
        <v>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305.08</v>
      </c>
      <c r="S170">
        <v>0</v>
      </c>
    </row>
    <row r="171" spans="1:19" x14ac:dyDescent="0.25">
      <c r="A171" t="s">
        <v>125</v>
      </c>
      <c r="B171" t="s">
        <v>126</v>
      </c>
      <c r="C171">
        <v>0</v>
      </c>
      <c r="D171" t="s">
        <v>2</v>
      </c>
      <c r="E171" t="s">
        <v>3</v>
      </c>
      <c r="F171" t="s">
        <v>2</v>
      </c>
      <c r="G171" t="s">
        <v>2</v>
      </c>
      <c r="H171">
        <v>0</v>
      </c>
      <c r="I171">
        <v>0</v>
      </c>
      <c r="J171" t="s">
        <v>2</v>
      </c>
      <c r="K171" t="s">
        <v>2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25">
      <c r="A172" t="s">
        <v>2</v>
      </c>
      <c r="B172" t="s">
        <v>2</v>
      </c>
      <c r="C172">
        <v>0</v>
      </c>
      <c r="D172" t="s">
        <v>2</v>
      </c>
      <c r="E172" t="s">
        <v>3</v>
      </c>
      <c r="F172" t="s">
        <v>16</v>
      </c>
      <c r="G172" t="s">
        <v>17</v>
      </c>
      <c r="H172">
        <v>2</v>
      </c>
      <c r="I172">
        <v>0</v>
      </c>
      <c r="J172" t="s">
        <v>2</v>
      </c>
      <c r="K172" t="s">
        <v>2</v>
      </c>
      <c r="L172">
        <v>18</v>
      </c>
      <c r="M172">
        <v>0</v>
      </c>
      <c r="N172">
        <v>0</v>
      </c>
      <c r="O172">
        <v>0</v>
      </c>
      <c r="P172">
        <v>0</v>
      </c>
      <c r="Q172">
        <v>54.91</v>
      </c>
      <c r="R172">
        <v>109.82</v>
      </c>
      <c r="S172">
        <v>19.45</v>
      </c>
    </row>
    <row r="173" spans="1:19" x14ac:dyDescent="0.25">
      <c r="A173" t="s">
        <v>2</v>
      </c>
      <c r="B173" t="s">
        <v>2</v>
      </c>
      <c r="C173">
        <v>0</v>
      </c>
      <c r="D173" t="s">
        <v>2</v>
      </c>
      <c r="E173" t="s">
        <v>3</v>
      </c>
      <c r="F173" t="s">
        <v>2</v>
      </c>
      <c r="G173" t="s">
        <v>2</v>
      </c>
      <c r="H173">
        <v>2</v>
      </c>
      <c r="I173">
        <v>0</v>
      </c>
      <c r="J173" t="s">
        <v>2</v>
      </c>
      <c r="K173" t="s">
        <v>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109.82</v>
      </c>
      <c r="S173">
        <v>0</v>
      </c>
    </row>
    <row r="174" spans="1:19" x14ac:dyDescent="0.25">
      <c r="A174" t="s">
        <v>127</v>
      </c>
      <c r="B174" t="s">
        <v>128</v>
      </c>
      <c r="C174">
        <v>0</v>
      </c>
      <c r="D174" t="s">
        <v>2</v>
      </c>
      <c r="E174" t="s">
        <v>3</v>
      </c>
      <c r="F174" t="s">
        <v>2</v>
      </c>
      <c r="G174" t="s">
        <v>2</v>
      </c>
      <c r="H174">
        <v>0</v>
      </c>
      <c r="I174">
        <v>0</v>
      </c>
      <c r="J174" t="s">
        <v>2</v>
      </c>
      <c r="K174" t="s">
        <v>2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25">
      <c r="A175" t="s">
        <v>2</v>
      </c>
      <c r="B175" t="s">
        <v>2</v>
      </c>
      <c r="C175">
        <v>0</v>
      </c>
      <c r="D175" t="s">
        <v>2</v>
      </c>
      <c r="E175" t="s">
        <v>3</v>
      </c>
      <c r="F175" t="s">
        <v>4</v>
      </c>
      <c r="G175" t="s">
        <v>5</v>
      </c>
      <c r="H175">
        <v>1</v>
      </c>
      <c r="I175">
        <v>0</v>
      </c>
      <c r="J175" t="s">
        <v>2</v>
      </c>
      <c r="K175" t="s">
        <v>2</v>
      </c>
      <c r="L175">
        <v>18</v>
      </c>
      <c r="M175">
        <v>0</v>
      </c>
      <c r="N175">
        <v>0</v>
      </c>
      <c r="O175">
        <v>0</v>
      </c>
      <c r="P175">
        <v>0</v>
      </c>
      <c r="Q175">
        <v>152.54</v>
      </c>
      <c r="R175">
        <v>152.54</v>
      </c>
      <c r="S175">
        <v>27.1</v>
      </c>
    </row>
    <row r="176" spans="1:19" x14ac:dyDescent="0.25">
      <c r="A176" t="s">
        <v>2</v>
      </c>
      <c r="B176" t="s">
        <v>2</v>
      </c>
      <c r="C176">
        <v>0</v>
      </c>
      <c r="D176" t="s">
        <v>2</v>
      </c>
      <c r="E176" t="s">
        <v>3</v>
      </c>
      <c r="F176" t="s">
        <v>2</v>
      </c>
      <c r="G176" t="s">
        <v>2</v>
      </c>
      <c r="H176">
        <v>1</v>
      </c>
      <c r="I176">
        <v>0</v>
      </c>
      <c r="J176" t="s">
        <v>2</v>
      </c>
      <c r="K176" t="s">
        <v>2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152.54</v>
      </c>
      <c r="S176">
        <v>0</v>
      </c>
    </row>
    <row r="177" spans="1:19" x14ac:dyDescent="0.25">
      <c r="A177" t="s">
        <v>129</v>
      </c>
      <c r="B177" t="s">
        <v>130</v>
      </c>
      <c r="C177">
        <v>0</v>
      </c>
      <c r="D177" t="s">
        <v>2</v>
      </c>
      <c r="E177" t="s">
        <v>3</v>
      </c>
      <c r="F177" t="s">
        <v>2</v>
      </c>
      <c r="G177" t="s">
        <v>2</v>
      </c>
      <c r="H177">
        <v>0</v>
      </c>
      <c r="I177">
        <v>0</v>
      </c>
      <c r="J177" t="s">
        <v>2</v>
      </c>
      <c r="K177" t="s">
        <v>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25">
      <c r="A178" t="s">
        <v>2</v>
      </c>
      <c r="B178" t="s">
        <v>2</v>
      </c>
      <c r="C178">
        <v>0</v>
      </c>
      <c r="D178" t="s">
        <v>2</v>
      </c>
      <c r="E178" t="s">
        <v>3</v>
      </c>
      <c r="F178" t="s">
        <v>4</v>
      </c>
      <c r="G178" t="s">
        <v>5</v>
      </c>
      <c r="H178">
        <v>1</v>
      </c>
      <c r="I178">
        <v>0</v>
      </c>
      <c r="J178" t="s">
        <v>2</v>
      </c>
      <c r="K178" t="s">
        <v>2</v>
      </c>
      <c r="L178">
        <v>18</v>
      </c>
      <c r="M178">
        <v>0</v>
      </c>
      <c r="N178">
        <v>0</v>
      </c>
      <c r="O178">
        <v>0</v>
      </c>
      <c r="P178">
        <v>0</v>
      </c>
      <c r="Q178">
        <v>152.54</v>
      </c>
      <c r="R178">
        <v>152.54</v>
      </c>
      <c r="S178">
        <v>27.1</v>
      </c>
    </row>
    <row r="179" spans="1:19" x14ac:dyDescent="0.25">
      <c r="A179" t="s">
        <v>2</v>
      </c>
      <c r="B179" t="s">
        <v>2</v>
      </c>
      <c r="C179">
        <v>0</v>
      </c>
      <c r="D179" t="s">
        <v>2</v>
      </c>
      <c r="E179" t="s">
        <v>3</v>
      </c>
      <c r="F179" t="s">
        <v>2</v>
      </c>
      <c r="G179" t="s">
        <v>2</v>
      </c>
      <c r="H179">
        <v>1</v>
      </c>
      <c r="I179">
        <v>0</v>
      </c>
      <c r="J179" t="s">
        <v>2</v>
      </c>
      <c r="K179" t="s">
        <v>2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152.54</v>
      </c>
      <c r="S179">
        <v>0</v>
      </c>
    </row>
    <row r="180" spans="1:19" x14ac:dyDescent="0.25">
      <c r="A180" t="s">
        <v>131</v>
      </c>
      <c r="B180" t="s">
        <v>132</v>
      </c>
      <c r="C180">
        <v>0</v>
      </c>
      <c r="D180" t="s">
        <v>2</v>
      </c>
      <c r="E180" t="s">
        <v>3</v>
      </c>
      <c r="F180" t="s">
        <v>2</v>
      </c>
      <c r="G180" t="s">
        <v>2</v>
      </c>
      <c r="H180">
        <v>0</v>
      </c>
      <c r="I180">
        <v>0</v>
      </c>
      <c r="J180" t="s">
        <v>2</v>
      </c>
      <c r="K180" t="s">
        <v>2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25">
      <c r="A181" t="s">
        <v>2</v>
      </c>
      <c r="B181" t="s">
        <v>2</v>
      </c>
      <c r="C181">
        <v>0</v>
      </c>
      <c r="D181" t="s">
        <v>2</v>
      </c>
      <c r="E181" t="s">
        <v>3</v>
      </c>
      <c r="F181" t="s">
        <v>24</v>
      </c>
      <c r="G181" t="s">
        <v>25</v>
      </c>
      <c r="H181">
        <v>1</v>
      </c>
      <c r="I181">
        <v>0</v>
      </c>
      <c r="J181" t="s">
        <v>2</v>
      </c>
      <c r="K181" t="s">
        <v>2</v>
      </c>
      <c r="L181">
        <v>12</v>
      </c>
      <c r="M181">
        <v>0</v>
      </c>
      <c r="N181">
        <v>0</v>
      </c>
      <c r="O181">
        <v>0</v>
      </c>
      <c r="P181">
        <v>0</v>
      </c>
      <c r="Q181">
        <v>128.57</v>
      </c>
      <c r="R181">
        <v>128.57</v>
      </c>
      <c r="S181">
        <v>15.23</v>
      </c>
    </row>
    <row r="182" spans="1:19" x14ac:dyDescent="0.25">
      <c r="A182" t="s">
        <v>2</v>
      </c>
      <c r="B182" t="s">
        <v>2</v>
      </c>
      <c r="C182">
        <v>0</v>
      </c>
      <c r="D182" t="s">
        <v>2</v>
      </c>
      <c r="E182" t="s">
        <v>3</v>
      </c>
      <c r="F182" t="s">
        <v>2</v>
      </c>
      <c r="G182" t="s">
        <v>2</v>
      </c>
      <c r="H182">
        <v>1</v>
      </c>
      <c r="I182">
        <v>0</v>
      </c>
      <c r="J182" t="s">
        <v>2</v>
      </c>
      <c r="K182" t="s">
        <v>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128.57</v>
      </c>
      <c r="S182">
        <v>0</v>
      </c>
    </row>
    <row r="183" spans="1:19" x14ac:dyDescent="0.25">
      <c r="A183" t="s">
        <v>133</v>
      </c>
      <c r="B183" t="s">
        <v>134</v>
      </c>
      <c r="C183">
        <v>0</v>
      </c>
      <c r="D183" t="s">
        <v>2</v>
      </c>
      <c r="E183" t="s">
        <v>3</v>
      </c>
      <c r="F183" t="s">
        <v>2</v>
      </c>
      <c r="G183" t="s">
        <v>2</v>
      </c>
      <c r="H183">
        <v>0</v>
      </c>
      <c r="I183">
        <v>0</v>
      </c>
      <c r="J183" t="s">
        <v>2</v>
      </c>
      <c r="K183" t="s">
        <v>2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25">
      <c r="A184" t="s">
        <v>2</v>
      </c>
      <c r="B184" t="s">
        <v>2</v>
      </c>
      <c r="C184">
        <v>0</v>
      </c>
      <c r="D184" t="s">
        <v>2</v>
      </c>
      <c r="E184" t="s">
        <v>3</v>
      </c>
      <c r="F184" t="s">
        <v>24</v>
      </c>
      <c r="G184" t="s">
        <v>25</v>
      </c>
      <c r="H184">
        <v>2</v>
      </c>
      <c r="I184">
        <v>0</v>
      </c>
      <c r="J184" t="s">
        <v>2</v>
      </c>
      <c r="K184" t="s">
        <v>2</v>
      </c>
      <c r="L184">
        <v>12</v>
      </c>
      <c r="M184">
        <v>0</v>
      </c>
      <c r="N184">
        <v>0</v>
      </c>
      <c r="O184">
        <v>0</v>
      </c>
      <c r="P184">
        <v>0</v>
      </c>
      <c r="Q184">
        <v>128.57</v>
      </c>
      <c r="R184">
        <v>257.14</v>
      </c>
      <c r="S184">
        <v>29.62</v>
      </c>
    </row>
    <row r="185" spans="1:19" x14ac:dyDescent="0.25">
      <c r="A185" t="s">
        <v>2</v>
      </c>
      <c r="B185" t="s">
        <v>2</v>
      </c>
      <c r="C185">
        <v>0</v>
      </c>
      <c r="D185" t="s">
        <v>2</v>
      </c>
      <c r="E185" t="s">
        <v>3</v>
      </c>
      <c r="F185" t="s">
        <v>12</v>
      </c>
      <c r="G185" t="s">
        <v>13</v>
      </c>
      <c r="H185">
        <v>2</v>
      </c>
      <c r="I185">
        <v>0</v>
      </c>
      <c r="J185" t="s">
        <v>2</v>
      </c>
      <c r="K185" t="s">
        <v>2</v>
      </c>
      <c r="L185">
        <v>18</v>
      </c>
      <c r="M185">
        <v>0</v>
      </c>
      <c r="N185">
        <v>0</v>
      </c>
      <c r="O185">
        <v>0</v>
      </c>
      <c r="P185">
        <v>0</v>
      </c>
      <c r="Q185">
        <v>305.08</v>
      </c>
      <c r="R185">
        <v>610.16</v>
      </c>
      <c r="S185">
        <v>105.44</v>
      </c>
    </row>
    <row r="186" spans="1:19" x14ac:dyDescent="0.25">
      <c r="A186" t="s">
        <v>2</v>
      </c>
      <c r="B186" t="s">
        <v>2</v>
      </c>
      <c r="C186">
        <v>0</v>
      </c>
      <c r="D186" t="s">
        <v>2</v>
      </c>
      <c r="E186" t="s">
        <v>3</v>
      </c>
      <c r="F186" t="s">
        <v>2</v>
      </c>
      <c r="G186" t="s">
        <v>2</v>
      </c>
      <c r="H186">
        <v>4</v>
      </c>
      <c r="I186">
        <v>0</v>
      </c>
      <c r="J186" t="s">
        <v>2</v>
      </c>
      <c r="K186" t="s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867.3</v>
      </c>
      <c r="S186">
        <v>0</v>
      </c>
    </row>
    <row r="187" spans="1:19" x14ac:dyDescent="0.25">
      <c r="A187" t="s">
        <v>135</v>
      </c>
      <c r="B187" t="s">
        <v>136</v>
      </c>
      <c r="C187">
        <v>0</v>
      </c>
      <c r="D187" t="s">
        <v>2</v>
      </c>
      <c r="E187" t="s">
        <v>3</v>
      </c>
      <c r="F187" t="s">
        <v>2</v>
      </c>
      <c r="G187" t="s">
        <v>2</v>
      </c>
      <c r="H187">
        <v>0</v>
      </c>
      <c r="I187">
        <v>0</v>
      </c>
      <c r="J187" t="s">
        <v>2</v>
      </c>
      <c r="K187" t="s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25">
      <c r="A188" t="s">
        <v>2</v>
      </c>
      <c r="B188" t="s">
        <v>2</v>
      </c>
      <c r="C188">
        <v>0</v>
      </c>
      <c r="D188" t="s">
        <v>2</v>
      </c>
      <c r="E188" t="s">
        <v>3</v>
      </c>
      <c r="F188" t="s">
        <v>39</v>
      </c>
      <c r="G188" t="s">
        <v>40</v>
      </c>
      <c r="H188">
        <v>1</v>
      </c>
      <c r="I188">
        <v>0</v>
      </c>
      <c r="J188" t="s">
        <v>2</v>
      </c>
      <c r="K188" t="s">
        <v>2</v>
      </c>
      <c r="L188">
        <v>12</v>
      </c>
      <c r="M188">
        <v>0</v>
      </c>
      <c r="N188">
        <v>0</v>
      </c>
      <c r="O188">
        <v>0</v>
      </c>
      <c r="P188">
        <v>0</v>
      </c>
      <c r="Q188">
        <v>192.86</v>
      </c>
      <c r="R188">
        <v>192.86</v>
      </c>
      <c r="S188">
        <v>22.56</v>
      </c>
    </row>
    <row r="189" spans="1:19" x14ac:dyDescent="0.25">
      <c r="A189" t="s">
        <v>2</v>
      </c>
      <c r="B189" t="s">
        <v>2</v>
      </c>
      <c r="C189">
        <v>0</v>
      </c>
      <c r="D189" t="s">
        <v>2</v>
      </c>
      <c r="E189" t="s">
        <v>3</v>
      </c>
      <c r="F189" t="s">
        <v>8</v>
      </c>
      <c r="G189" t="s">
        <v>9</v>
      </c>
      <c r="H189">
        <v>2</v>
      </c>
      <c r="I189">
        <v>0</v>
      </c>
      <c r="J189" t="s">
        <v>2</v>
      </c>
      <c r="K189" t="s">
        <v>2</v>
      </c>
      <c r="L189">
        <v>18</v>
      </c>
      <c r="M189">
        <v>0</v>
      </c>
      <c r="N189">
        <v>0</v>
      </c>
      <c r="O189">
        <v>0</v>
      </c>
      <c r="P189">
        <v>0</v>
      </c>
      <c r="Q189">
        <v>152.54</v>
      </c>
      <c r="R189">
        <v>305.08</v>
      </c>
      <c r="S189">
        <v>53.54</v>
      </c>
    </row>
    <row r="190" spans="1:19" x14ac:dyDescent="0.25">
      <c r="A190" t="s">
        <v>2</v>
      </c>
      <c r="B190" t="s">
        <v>2</v>
      </c>
      <c r="C190">
        <v>0</v>
      </c>
      <c r="D190" t="s">
        <v>2</v>
      </c>
      <c r="E190" t="s">
        <v>3</v>
      </c>
      <c r="F190" t="s">
        <v>2</v>
      </c>
      <c r="G190" t="s">
        <v>2</v>
      </c>
      <c r="H190">
        <v>3</v>
      </c>
      <c r="I190">
        <v>0</v>
      </c>
      <c r="J190" t="s">
        <v>2</v>
      </c>
      <c r="K190" t="s">
        <v>2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497.94</v>
      </c>
      <c r="S190">
        <v>0</v>
      </c>
    </row>
    <row r="191" spans="1:19" x14ac:dyDescent="0.25">
      <c r="A191" t="s">
        <v>2</v>
      </c>
      <c r="B191" t="s">
        <v>2</v>
      </c>
      <c r="C191">
        <v>0</v>
      </c>
      <c r="D191" t="s">
        <v>2</v>
      </c>
      <c r="E191" t="s">
        <v>3</v>
      </c>
      <c r="F191" t="s">
        <v>2</v>
      </c>
      <c r="G191" t="s">
        <v>2</v>
      </c>
      <c r="H191">
        <v>0</v>
      </c>
      <c r="I191">
        <v>0</v>
      </c>
      <c r="J191" t="s">
        <v>2</v>
      </c>
      <c r="K191" t="s">
        <v>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25">
      <c r="A192" t="s">
        <v>2</v>
      </c>
      <c r="B192" t="s">
        <v>137</v>
      </c>
      <c r="C192">
        <v>0</v>
      </c>
      <c r="D192" t="s">
        <v>2</v>
      </c>
      <c r="E192" t="s">
        <v>3</v>
      </c>
      <c r="F192" t="s">
        <v>2</v>
      </c>
      <c r="G192" t="s">
        <v>2</v>
      </c>
      <c r="H192">
        <v>349</v>
      </c>
      <c r="I192">
        <v>33</v>
      </c>
      <c r="J192" t="s">
        <v>2</v>
      </c>
      <c r="K192" t="s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49051.71</v>
      </c>
      <c r="S192">
        <v>0</v>
      </c>
    </row>
  </sheetData>
  <autoFilter ref="A8:S192"/>
  <mergeCells count="7">
    <mergeCell ref="A7:S7"/>
    <mergeCell ref="A1:S1"/>
    <mergeCell ref="A2:S2"/>
    <mergeCell ref="A3:S3"/>
    <mergeCell ref="A4:S4"/>
    <mergeCell ref="A5:S5"/>
    <mergeCell ref="A6:S6"/>
  </mergeCells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PWS_BIOSL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2023-06-30T11:14:58Z</dcterms:created>
  <dcterms:modified xsi:type="dcterms:W3CDTF">2023-07-20T10:40:27Z</dcterms:modified>
</cp:coreProperties>
</file>