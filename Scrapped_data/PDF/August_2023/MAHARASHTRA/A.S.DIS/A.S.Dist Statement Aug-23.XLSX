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VAXLS\"/>
    </mc:Choice>
  </mc:AlternateContent>
  <bookViews>
    <workbookView xWindow="0" yWindow="0" windowWidth="11490" windowHeight="6735"/>
  </bookViews>
  <sheets>
    <sheet name="BIOS LAB PVT LTD_AUG" sheetId="1" r:id="rId1"/>
  </sheets>
  <calcPr calcId="152511"/>
</workbook>
</file>

<file path=xl/calcChain.xml><?xml version="1.0" encoding="utf-8"?>
<calcChain xmlns="http://schemas.openxmlformats.org/spreadsheetml/2006/main">
  <c r="O7" i="1" l="1"/>
  <c r="N7" i="1"/>
  <c r="M7" i="1"/>
  <c r="L7" i="1"/>
  <c r="K7" i="1"/>
  <c r="J7" i="1"/>
  <c r="I7" i="1"/>
  <c r="H7" i="1"/>
  <c r="G7" i="1"/>
  <c r="F7" i="1"/>
  <c r="E7" i="1"/>
  <c r="D7" i="1"/>
  <c r="C7" i="1"/>
  <c r="B7" i="1"/>
  <c r="A7" i="1"/>
</calcChain>
</file>

<file path=xl/sharedStrings.xml><?xml version="1.0" encoding="utf-8"?>
<sst xmlns="http://schemas.openxmlformats.org/spreadsheetml/2006/main" count="201" uniqueCount="106">
  <si>
    <t xml:space="preserve"> **T 200MG TAB</t>
  </si>
  <si>
    <t>30GM</t>
  </si>
  <si>
    <t>30049099</t>
  </si>
  <si>
    <t>***EX  SOAP</t>
  </si>
  <si>
    <t>75GM</t>
  </si>
  <si>
    <t>ACNETRET-10 CAP.</t>
  </si>
  <si>
    <t>10 CAP</t>
  </si>
  <si>
    <t>ACNETRET-20 CAP</t>
  </si>
  <si>
    <t>ALVIZINE  5 MG</t>
  </si>
  <si>
    <t>10TAB</t>
  </si>
  <si>
    <t>ALVIZINE-10 TAB</t>
  </si>
  <si>
    <t>10 TAB</t>
  </si>
  <si>
    <t>BEZELENE GEL 15 GM</t>
  </si>
  <si>
    <t>15 GM</t>
  </si>
  <si>
    <t>BIO-ITRA 100 TAB</t>
  </si>
  <si>
    <t>BIO-ITRA 200 TAB</t>
  </si>
  <si>
    <t>BIO-LIZOL CREAM 30 GM</t>
  </si>
  <si>
    <t>30 GM</t>
  </si>
  <si>
    <t>BIOBIL TAB</t>
  </si>
  <si>
    <t>BIODUTA TAB</t>
  </si>
  <si>
    <t>BIOKET 200 MG</t>
  </si>
  <si>
    <t>BIOKET CREAM 50 GM</t>
  </si>
  <si>
    <t>50 GM</t>
  </si>
  <si>
    <t>BIOKET SHAMPOO</t>
  </si>
  <si>
    <t>75 ML</t>
  </si>
  <si>
    <t>BIOKET SOAP</t>
  </si>
  <si>
    <t>75 GM</t>
  </si>
  <si>
    <t>34011110</t>
  </si>
  <si>
    <t>BIOKET-200 TAB</t>
  </si>
  <si>
    <t>BIOZA 6 TAB</t>
  </si>
  <si>
    <t>CAPILLUS FORTE TAB</t>
  </si>
  <si>
    <t>21069099</t>
  </si>
  <si>
    <t>CAPILLUS TAB</t>
  </si>
  <si>
    <t>CAPILLUS-F SOL.</t>
  </si>
  <si>
    <t>60 ML</t>
  </si>
  <si>
    <t>CAPILLUS-M 5% SOL.</t>
  </si>
  <si>
    <t>CHER SPF-30</t>
  </si>
  <si>
    <t>F DIN 180 TAB</t>
  </si>
  <si>
    <t>F-TEX SOAP</t>
  </si>
  <si>
    <t>34011190</t>
  </si>
  <si>
    <t>F-WASH SHAMPOO</t>
  </si>
  <si>
    <t>100 ML</t>
  </si>
  <si>
    <t>IOXI-30 TAB</t>
  </si>
  <si>
    <t>LOISTO FACE WASH</t>
  </si>
  <si>
    <t>70 GM</t>
  </si>
  <si>
    <t>33049990</t>
  </si>
  <si>
    <t>LUWES CREAM</t>
  </si>
  <si>
    <t>LUWES LITE CREAM</t>
  </si>
  <si>
    <t>20 GM</t>
  </si>
  <si>
    <t>33049910</t>
  </si>
  <si>
    <t>S-LAVA FACE WASH</t>
  </si>
  <si>
    <t>STELLA 60 K</t>
  </si>
  <si>
    <t>4 TAB</t>
  </si>
  <si>
    <t>TEXFIN OD TAB</t>
  </si>
  <si>
    <t>TEXGLOW GEL 20 GM</t>
  </si>
  <si>
    <t>ULIGO CREAM 50 GM</t>
  </si>
  <si>
    <t>ULIGO LOTION</t>
  </si>
  <si>
    <t>UV CACHER GEL 30 GM</t>
  </si>
  <si>
    <t>XEBAC 250 CAP</t>
  </si>
  <si>
    <t>6 CAP</t>
  </si>
  <si>
    <t>XEBAC 500 TAB</t>
  </si>
  <si>
    <t>3 TAB</t>
  </si>
  <si>
    <t>ZALOTER CREAM 30 GM</t>
  </si>
  <si>
    <t/>
  </si>
  <si>
    <t>MR.Balance:    40694.00</t>
  </si>
  <si>
    <t>OPENING :   83098.44</t>
  </si>
  <si>
    <t>PURCHASE :   46429.25</t>
  </si>
  <si>
    <t>SALES :   57569.14</t>
  </si>
  <si>
    <t>UC SALE :       0.00</t>
  </si>
  <si>
    <t>CL.STK.:   80865.59</t>
  </si>
  <si>
    <t>Opening On SaleRate:   92041.1</t>
  </si>
  <si>
    <t>Purchase On SaleRate:   51753.</t>
  </si>
  <si>
    <t>Closing On SaleRate:   89896.4</t>
  </si>
  <si>
    <t xml:space="preserve">A.S.DISTRIBUTORS                        </t>
  </si>
  <si>
    <t>SHOP.NO.5,UPPER GROUND FLOOR             From : 01/08/23</t>
  </si>
  <si>
    <t>JANAKI APPT.,H.NO.1315/3B,SADASHIV PETH, To : 31/03/24</t>
  </si>
  <si>
    <t>OPP.BHARATNATYA MANDIR,PUNE-411030.     Report Date : 31-Aug-2023</t>
  </si>
  <si>
    <t>STOCK &amp; SALE STATEMENT</t>
  </si>
  <si>
    <t>Company Name : BIOS LAB.PVT.LTD.</t>
  </si>
  <si>
    <t>MR WISE OUTSTANDING REPORT</t>
  </si>
  <si>
    <t>SrNo.</t>
  </si>
  <si>
    <t>Bill No</t>
  </si>
  <si>
    <t>Type</t>
  </si>
  <si>
    <t>BillDate</t>
  </si>
  <si>
    <t>Party Name</t>
  </si>
  <si>
    <t>Address</t>
  </si>
  <si>
    <t>Address2</t>
  </si>
  <si>
    <t>Bill Amount</t>
  </si>
  <si>
    <t>Balance</t>
  </si>
  <si>
    <t>Received</t>
  </si>
  <si>
    <t>OverDays</t>
  </si>
  <si>
    <t>Intrest</t>
  </si>
  <si>
    <t>Remark</t>
  </si>
  <si>
    <t>Cash/Credit</t>
  </si>
  <si>
    <t xml:space="preserve">DR.JAGRUTI SINGH              </t>
  </si>
  <si>
    <t>DAUND,MANODHARMA COMPLAX,KURKU</t>
  </si>
  <si>
    <t xml:space="preserve">MBH ROAD                      </t>
  </si>
  <si>
    <t>PLEASE PROVIDE YOUR FOOD LICENSE URGENT</t>
  </si>
  <si>
    <t>21/07/23</t>
  </si>
  <si>
    <t xml:space="preserve">SHRIRAM MEDICAL STORES        </t>
  </si>
  <si>
    <t>SHRIGONDA,SWAGAT HEIGHTS,SHRIG</t>
  </si>
  <si>
    <t xml:space="preserve">ONDA                          </t>
  </si>
  <si>
    <t>18/08/23</t>
  </si>
  <si>
    <t xml:space="preserve">BHAVANI MEDICALS              </t>
  </si>
  <si>
    <t xml:space="preserve">SATARA,SADAR BAZAR,SATARA     </t>
  </si>
  <si>
    <t xml:space="preserve">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</si>
</sst>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rgb="FF8A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1" xfId="0" applyFont="1" applyBorder="1" applyAlignment="1">
      <alignment horizontal="centerContinuous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9"/>
  <sheetViews>
    <sheetView tabSelected="1" workbookViewId="0">
      <pane ySplit="7" topLeftCell="A8" activePane="bottomLeft" state="frozen"/>
      <selection pane="bottomLeft" activeCell="A8" sqref="A8:O8"/>
    </sheetView>
  </sheetViews>
  <sheetFormatPr defaultRowHeight="15" x14ac:dyDescent="0.25"/>
  <cols>
    <col min="1" max="1" width="28.7109375" bestFit="1" customWidth="1"/>
    <col min="2" max="2" width="7" bestFit="1" customWidth="1"/>
    <col min="3" max="3" width="9.7109375" bestFit="1" customWidth="1"/>
    <col min="4" max="4" width="8.42578125" bestFit="1" customWidth="1"/>
    <col min="5" max="5" width="8" bestFit="1" customWidth="1"/>
    <col min="6" max="6" width="8.85546875" bestFit="1" customWidth="1"/>
    <col min="7" max="7" width="7.28515625" bestFit="1" customWidth="1"/>
    <col min="8" max="8" width="7.140625" bestFit="1" customWidth="1"/>
    <col min="9" max="9" width="10.140625" bestFit="1" customWidth="1"/>
    <col min="10" max="10" width="10" bestFit="1" customWidth="1"/>
    <col min="11" max="11" width="9" bestFit="1" customWidth="1"/>
    <col min="12" max="12" width="9.140625" bestFit="1" customWidth="1"/>
    <col min="13" max="13" width="9" bestFit="1" customWidth="1"/>
    <col min="14" max="14" width="10.140625" bestFit="1" customWidth="1"/>
    <col min="15" max="15" width="8.28515625" bestFit="1" customWidth="1"/>
  </cols>
  <sheetData>
    <row r="1" spans="1:15" x14ac:dyDescent="0.25">
      <c r="A1" s="2" t="s">
        <v>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5">
      <c r="A2" s="2" t="s">
        <v>74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2" t="s">
        <v>75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2" t="s">
        <v>76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x14ac:dyDescent="0.25">
      <c r="A5" s="3" t="s">
        <v>77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3" t="s">
        <v>78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1" t="str">
        <f>UPPER("name")</f>
        <v>NAME</v>
      </c>
      <c r="B7" s="1" t="str">
        <f>UPPER("pack")</f>
        <v>PACK</v>
      </c>
      <c r="C7" s="1" t="str">
        <f>UPPER("openstk")</f>
        <v>OPENSTK</v>
      </c>
      <c r="D7" s="1" t="str">
        <f>UPPER("purstk")</f>
        <v>PURSTK</v>
      </c>
      <c r="E7" s="1" t="str">
        <f>UPPER("crestk")</f>
        <v>CRESTK</v>
      </c>
      <c r="F7" s="1" t="str">
        <f>UPPER("salestk")</f>
        <v>SALESTK</v>
      </c>
      <c r="G7" s="1" t="str">
        <f>UPPER("ucstk")</f>
        <v>UCSTK</v>
      </c>
      <c r="H7" s="1" t="str">
        <f>UPPER("dbstk")</f>
        <v>DBSTK</v>
      </c>
      <c r="I7" s="1" t="str">
        <f>UPPER("closestk")</f>
        <v>CLOSESTK</v>
      </c>
      <c r="J7" s="1" t="str">
        <f>UPPER("openval")</f>
        <v>OPENVAL</v>
      </c>
      <c r="K7" s="1" t="str">
        <f>UPPER("purval")</f>
        <v>PURVAL</v>
      </c>
      <c r="L7" s="1" t="str">
        <f>UPPER("saleval")</f>
        <v>SALEVAL</v>
      </c>
      <c r="M7" s="1" t="str">
        <f>UPPER("clsval")</f>
        <v>CLSVAL</v>
      </c>
      <c r="N7" s="1" t="str">
        <f>UPPER("hsncode")</f>
        <v>HSNCODE</v>
      </c>
      <c r="O7" s="1" t="str">
        <f>UPPER("taxper")</f>
        <v>TAXPER</v>
      </c>
    </row>
    <row r="8" spans="1:15" x14ac:dyDescent="0.25">
      <c r="A8" t="s">
        <v>0</v>
      </c>
      <c r="B8" t="s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 t="s">
        <v>2</v>
      </c>
      <c r="O8">
        <v>12</v>
      </c>
    </row>
    <row r="9" spans="1:15" x14ac:dyDescent="0.25">
      <c r="A9" t="s">
        <v>3</v>
      </c>
      <c r="B9" t="s">
        <v>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 t="s">
        <v>2</v>
      </c>
      <c r="O9">
        <v>18</v>
      </c>
    </row>
    <row r="10" spans="1:15" x14ac:dyDescent="0.25">
      <c r="A10" t="s">
        <v>5</v>
      </c>
      <c r="B10" t="s">
        <v>6</v>
      </c>
      <c r="C10">
        <v>3</v>
      </c>
      <c r="D10">
        <v>11</v>
      </c>
      <c r="E10">
        <v>0</v>
      </c>
      <c r="F10">
        <v>6</v>
      </c>
      <c r="G10">
        <v>0</v>
      </c>
      <c r="H10">
        <v>0</v>
      </c>
      <c r="I10">
        <v>8</v>
      </c>
      <c r="J10">
        <v>277.70999999999998</v>
      </c>
      <c r="K10">
        <v>925.7</v>
      </c>
      <c r="L10">
        <v>617.1</v>
      </c>
      <c r="M10">
        <v>740.56</v>
      </c>
      <c r="N10" t="s">
        <v>2</v>
      </c>
      <c r="O10">
        <v>12</v>
      </c>
    </row>
    <row r="11" spans="1:15" x14ac:dyDescent="0.25">
      <c r="A11" t="s">
        <v>7</v>
      </c>
      <c r="B11" t="s">
        <v>6</v>
      </c>
      <c r="C11">
        <v>14</v>
      </c>
      <c r="D11">
        <v>0</v>
      </c>
      <c r="E11">
        <v>0</v>
      </c>
      <c r="F11">
        <v>0</v>
      </c>
      <c r="G11">
        <v>0</v>
      </c>
      <c r="H11">
        <v>0</v>
      </c>
      <c r="I11">
        <v>14</v>
      </c>
      <c r="J11">
        <v>1619.94</v>
      </c>
      <c r="K11">
        <v>0</v>
      </c>
      <c r="L11">
        <v>0</v>
      </c>
      <c r="M11">
        <v>1619.94</v>
      </c>
      <c r="N11" t="s">
        <v>2</v>
      </c>
      <c r="O11">
        <v>12</v>
      </c>
    </row>
    <row r="12" spans="1:15" x14ac:dyDescent="0.25">
      <c r="A12" t="s">
        <v>8</v>
      </c>
      <c r="B12" t="s">
        <v>9</v>
      </c>
      <c r="C12">
        <v>2</v>
      </c>
      <c r="D12">
        <v>71</v>
      </c>
      <c r="E12">
        <v>0</v>
      </c>
      <c r="F12">
        <v>18</v>
      </c>
      <c r="G12">
        <v>0</v>
      </c>
      <c r="H12">
        <v>0</v>
      </c>
      <c r="I12">
        <v>55</v>
      </c>
      <c r="J12">
        <v>50.92</v>
      </c>
      <c r="K12">
        <v>1527.6</v>
      </c>
      <c r="L12">
        <v>509.04</v>
      </c>
      <c r="M12">
        <v>1400.3</v>
      </c>
      <c r="N12" t="s">
        <v>2</v>
      </c>
      <c r="O12">
        <v>12</v>
      </c>
    </row>
    <row r="13" spans="1:15" x14ac:dyDescent="0.25">
      <c r="A13" t="s">
        <v>10</v>
      </c>
      <c r="B13" t="s">
        <v>11</v>
      </c>
      <c r="C13">
        <v>24</v>
      </c>
      <c r="D13">
        <v>22</v>
      </c>
      <c r="E13">
        <v>0</v>
      </c>
      <c r="F13">
        <v>4</v>
      </c>
      <c r="G13">
        <v>0</v>
      </c>
      <c r="H13">
        <v>0</v>
      </c>
      <c r="I13">
        <v>42</v>
      </c>
      <c r="J13">
        <v>916.56</v>
      </c>
      <c r="K13">
        <v>763.8</v>
      </c>
      <c r="L13">
        <v>169.68</v>
      </c>
      <c r="M13">
        <v>1603.98</v>
      </c>
      <c r="N13" t="s">
        <v>2</v>
      </c>
      <c r="O13">
        <v>12</v>
      </c>
    </row>
    <row r="14" spans="1:15" x14ac:dyDescent="0.25">
      <c r="A14" t="s">
        <v>12</v>
      </c>
      <c r="B14" t="s">
        <v>13</v>
      </c>
      <c r="C14">
        <v>16</v>
      </c>
      <c r="D14">
        <v>12</v>
      </c>
      <c r="E14">
        <v>0</v>
      </c>
      <c r="F14">
        <v>3</v>
      </c>
      <c r="G14">
        <v>0</v>
      </c>
      <c r="H14">
        <v>7</v>
      </c>
      <c r="I14">
        <v>18</v>
      </c>
      <c r="J14">
        <v>2777.12</v>
      </c>
      <c r="K14">
        <v>1735.7</v>
      </c>
      <c r="L14">
        <v>578.58000000000004</v>
      </c>
      <c r="M14">
        <v>3124.26</v>
      </c>
      <c r="N14" t="s">
        <v>2</v>
      </c>
      <c r="O14">
        <v>12</v>
      </c>
    </row>
    <row r="15" spans="1:15" x14ac:dyDescent="0.25">
      <c r="A15" t="s">
        <v>14</v>
      </c>
      <c r="B15" t="s">
        <v>11</v>
      </c>
      <c r="C15">
        <v>45</v>
      </c>
      <c r="D15">
        <v>0</v>
      </c>
      <c r="E15">
        <v>0</v>
      </c>
      <c r="F15">
        <v>26</v>
      </c>
      <c r="G15">
        <v>0</v>
      </c>
      <c r="H15">
        <v>0</v>
      </c>
      <c r="I15">
        <v>19</v>
      </c>
      <c r="J15">
        <v>5206.95</v>
      </c>
      <c r="K15">
        <v>0</v>
      </c>
      <c r="L15">
        <v>2828.54</v>
      </c>
      <c r="M15">
        <v>2198.4899999999998</v>
      </c>
      <c r="N15" t="s">
        <v>2</v>
      </c>
      <c r="O15">
        <v>12</v>
      </c>
    </row>
    <row r="16" spans="1:15" x14ac:dyDescent="0.25">
      <c r="A16" t="s">
        <v>15</v>
      </c>
      <c r="B16" t="s">
        <v>6</v>
      </c>
      <c r="C16">
        <v>24</v>
      </c>
      <c r="D16">
        <v>26</v>
      </c>
      <c r="E16">
        <v>0</v>
      </c>
      <c r="F16">
        <v>15</v>
      </c>
      <c r="G16">
        <v>0</v>
      </c>
      <c r="H16">
        <v>0</v>
      </c>
      <c r="I16">
        <v>35</v>
      </c>
      <c r="J16">
        <v>4165.68</v>
      </c>
      <c r="K16">
        <v>3471.4</v>
      </c>
      <c r="L16">
        <v>2748.12</v>
      </c>
      <c r="M16">
        <v>6074.95</v>
      </c>
      <c r="N16" t="s">
        <v>2</v>
      </c>
      <c r="O16">
        <v>12</v>
      </c>
    </row>
    <row r="17" spans="1:15" x14ac:dyDescent="0.25">
      <c r="A17" t="s">
        <v>16</v>
      </c>
      <c r="B17" t="s">
        <v>17</v>
      </c>
      <c r="C17">
        <v>33</v>
      </c>
      <c r="D17">
        <v>25</v>
      </c>
      <c r="E17">
        <v>0</v>
      </c>
      <c r="F17">
        <v>31</v>
      </c>
      <c r="G17">
        <v>0</v>
      </c>
      <c r="H17">
        <v>0</v>
      </c>
      <c r="I17">
        <v>27</v>
      </c>
      <c r="J17">
        <v>3054.81</v>
      </c>
      <c r="K17">
        <v>1851.4</v>
      </c>
      <c r="L17">
        <v>2879.8</v>
      </c>
      <c r="M17">
        <v>2499.39</v>
      </c>
      <c r="N17" t="s">
        <v>2</v>
      </c>
      <c r="O17">
        <v>12</v>
      </c>
    </row>
    <row r="18" spans="1:15" x14ac:dyDescent="0.25">
      <c r="A18" t="s">
        <v>18</v>
      </c>
      <c r="B18" t="s">
        <v>11</v>
      </c>
      <c r="C18">
        <v>33</v>
      </c>
      <c r="D18">
        <v>2</v>
      </c>
      <c r="E18">
        <v>0</v>
      </c>
      <c r="F18">
        <v>4</v>
      </c>
      <c r="G18">
        <v>0</v>
      </c>
      <c r="H18">
        <v>0</v>
      </c>
      <c r="I18">
        <v>31</v>
      </c>
      <c r="J18">
        <v>2481.9299999999998</v>
      </c>
      <c r="K18">
        <v>0</v>
      </c>
      <c r="L18">
        <v>334.28</v>
      </c>
      <c r="M18">
        <v>2331.5100000000002</v>
      </c>
      <c r="N18" t="s">
        <v>2</v>
      </c>
      <c r="O18">
        <v>12</v>
      </c>
    </row>
    <row r="19" spans="1:15" x14ac:dyDescent="0.25">
      <c r="A19" t="s">
        <v>19</v>
      </c>
      <c r="B19" t="s">
        <v>11</v>
      </c>
      <c r="C19">
        <v>9</v>
      </c>
      <c r="D19">
        <v>0</v>
      </c>
      <c r="E19">
        <v>0</v>
      </c>
      <c r="F19">
        <v>0</v>
      </c>
      <c r="G19">
        <v>0</v>
      </c>
      <c r="H19">
        <v>0</v>
      </c>
      <c r="I19">
        <v>9</v>
      </c>
      <c r="J19">
        <v>572.76</v>
      </c>
      <c r="K19">
        <v>0</v>
      </c>
      <c r="L19">
        <v>0</v>
      </c>
      <c r="M19">
        <v>572.76</v>
      </c>
      <c r="N19" t="s">
        <v>2</v>
      </c>
      <c r="O19">
        <v>12</v>
      </c>
    </row>
    <row r="20" spans="1:15" x14ac:dyDescent="0.25">
      <c r="A20" t="s">
        <v>20</v>
      </c>
      <c r="B20" t="s">
        <v>9</v>
      </c>
      <c r="C20">
        <v>30</v>
      </c>
      <c r="D20">
        <v>0</v>
      </c>
      <c r="E20">
        <v>0</v>
      </c>
      <c r="F20">
        <v>2</v>
      </c>
      <c r="G20">
        <v>0</v>
      </c>
      <c r="H20">
        <v>13</v>
      </c>
      <c r="I20">
        <v>15</v>
      </c>
      <c r="J20">
        <v>2603.6999999999998</v>
      </c>
      <c r="K20">
        <v>0</v>
      </c>
      <c r="L20">
        <v>192.84</v>
      </c>
      <c r="M20">
        <v>1301.8499999999999</v>
      </c>
      <c r="N20" t="s">
        <v>2</v>
      </c>
      <c r="O20">
        <v>12</v>
      </c>
    </row>
    <row r="21" spans="1:15" x14ac:dyDescent="0.25">
      <c r="A21" t="s">
        <v>21</v>
      </c>
      <c r="B21" t="s">
        <v>22</v>
      </c>
      <c r="C21">
        <v>23</v>
      </c>
      <c r="D21">
        <v>0</v>
      </c>
      <c r="E21">
        <v>1</v>
      </c>
      <c r="F21">
        <v>6</v>
      </c>
      <c r="G21">
        <v>0</v>
      </c>
      <c r="H21">
        <v>0</v>
      </c>
      <c r="I21">
        <v>18</v>
      </c>
      <c r="J21">
        <v>1863</v>
      </c>
      <c r="K21">
        <v>0</v>
      </c>
      <c r="L21">
        <v>540</v>
      </c>
      <c r="M21">
        <v>1458</v>
      </c>
      <c r="N21" t="s">
        <v>2</v>
      </c>
      <c r="O21">
        <v>12</v>
      </c>
    </row>
    <row r="22" spans="1:15" x14ac:dyDescent="0.25">
      <c r="A22" t="s">
        <v>23</v>
      </c>
      <c r="B22" t="s">
        <v>24</v>
      </c>
      <c r="C22">
        <v>10</v>
      </c>
      <c r="D22">
        <v>6</v>
      </c>
      <c r="E22">
        <v>0</v>
      </c>
      <c r="F22">
        <v>7</v>
      </c>
      <c r="G22">
        <v>0</v>
      </c>
      <c r="H22">
        <v>0</v>
      </c>
      <c r="I22">
        <v>9</v>
      </c>
      <c r="J22">
        <v>1157.0999999999999</v>
      </c>
      <c r="K22">
        <v>578.54999999999995</v>
      </c>
      <c r="L22">
        <v>899.99</v>
      </c>
      <c r="M22">
        <v>1041.3900000000001</v>
      </c>
      <c r="N22" t="s">
        <v>2</v>
      </c>
      <c r="O22">
        <v>12</v>
      </c>
    </row>
    <row r="23" spans="1:15" x14ac:dyDescent="0.25">
      <c r="A23" t="s">
        <v>25</v>
      </c>
      <c r="B23" t="s">
        <v>26</v>
      </c>
      <c r="C23">
        <v>31</v>
      </c>
      <c r="D23">
        <v>7</v>
      </c>
      <c r="E23">
        <v>0</v>
      </c>
      <c r="F23">
        <v>10</v>
      </c>
      <c r="G23">
        <v>0</v>
      </c>
      <c r="H23">
        <v>0</v>
      </c>
      <c r="I23">
        <v>28</v>
      </c>
      <c r="J23">
        <v>2042.9</v>
      </c>
      <c r="K23">
        <v>329.5</v>
      </c>
      <c r="L23">
        <v>732.2</v>
      </c>
      <c r="M23">
        <v>1845.2</v>
      </c>
      <c r="N23" t="s">
        <v>27</v>
      </c>
      <c r="O23">
        <v>18</v>
      </c>
    </row>
    <row r="24" spans="1:15" x14ac:dyDescent="0.25">
      <c r="A24" t="s">
        <v>28</v>
      </c>
      <c r="B24" t="s">
        <v>11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 t="s">
        <v>2</v>
      </c>
      <c r="O24">
        <v>12</v>
      </c>
    </row>
    <row r="25" spans="1:15" x14ac:dyDescent="0.25">
      <c r="A25" t="s">
        <v>29</v>
      </c>
      <c r="B25" t="s">
        <v>11</v>
      </c>
      <c r="C25">
        <v>23</v>
      </c>
      <c r="D25">
        <v>14</v>
      </c>
      <c r="E25">
        <v>0</v>
      </c>
      <c r="F25">
        <v>5</v>
      </c>
      <c r="G25">
        <v>0</v>
      </c>
      <c r="H25">
        <v>0</v>
      </c>
      <c r="I25">
        <v>32</v>
      </c>
      <c r="J25">
        <v>1863</v>
      </c>
      <c r="K25">
        <v>810</v>
      </c>
      <c r="L25">
        <v>450</v>
      </c>
      <c r="M25">
        <v>2592</v>
      </c>
      <c r="N25" t="s">
        <v>2</v>
      </c>
      <c r="O25">
        <v>12</v>
      </c>
    </row>
    <row r="26" spans="1:15" x14ac:dyDescent="0.25">
      <c r="A26" t="s">
        <v>30</v>
      </c>
      <c r="B26" t="s">
        <v>11</v>
      </c>
      <c r="C26">
        <v>43</v>
      </c>
      <c r="D26">
        <v>13</v>
      </c>
      <c r="E26">
        <v>0</v>
      </c>
      <c r="F26">
        <v>36</v>
      </c>
      <c r="G26">
        <v>0</v>
      </c>
      <c r="H26">
        <v>0</v>
      </c>
      <c r="I26">
        <v>20</v>
      </c>
      <c r="J26">
        <v>5194.83</v>
      </c>
      <c r="K26">
        <v>1208.0999999999999</v>
      </c>
      <c r="L26">
        <v>4832.28</v>
      </c>
      <c r="M26">
        <v>2416.1999999999998</v>
      </c>
      <c r="N26" t="s">
        <v>31</v>
      </c>
      <c r="O26">
        <v>18</v>
      </c>
    </row>
    <row r="27" spans="1:15" x14ac:dyDescent="0.25">
      <c r="A27" t="s">
        <v>32</v>
      </c>
      <c r="B27" t="s">
        <v>11</v>
      </c>
      <c r="C27">
        <v>15</v>
      </c>
      <c r="D27">
        <v>5</v>
      </c>
      <c r="E27">
        <v>0</v>
      </c>
      <c r="F27">
        <v>20</v>
      </c>
      <c r="G27">
        <v>0</v>
      </c>
      <c r="H27">
        <v>0</v>
      </c>
      <c r="I27">
        <v>0</v>
      </c>
      <c r="J27">
        <v>1565.1</v>
      </c>
      <c r="K27">
        <v>521.70000000000005</v>
      </c>
      <c r="L27">
        <v>2318.6</v>
      </c>
      <c r="M27">
        <v>0</v>
      </c>
      <c r="N27" t="s">
        <v>31</v>
      </c>
      <c r="O27">
        <v>18</v>
      </c>
    </row>
    <row r="28" spans="1:15" x14ac:dyDescent="0.25">
      <c r="A28" t="s">
        <v>33</v>
      </c>
      <c r="B28" t="s">
        <v>34</v>
      </c>
      <c r="C28">
        <v>21</v>
      </c>
      <c r="D28">
        <v>0</v>
      </c>
      <c r="E28">
        <v>0</v>
      </c>
      <c r="F28">
        <v>2</v>
      </c>
      <c r="G28">
        <v>0</v>
      </c>
      <c r="H28">
        <v>0</v>
      </c>
      <c r="I28">
        <v>19</v>
      </c>
      <c r="J28">
        <v>10934.91</v>
      </c>
      <c r="K28">
        <v>0</v>
      </c>
      <c r="L28">
        <v>1157.1400000000001</v>
      </c>
      <c r="M28">
        <v>9893.49</v>
      </c>
      <c r="N28" t="s">
        <v>2</v>
      </c>
      <c r="O28">
        <v>12</v>
      </c>
    </row>
    <row r="29" spans="1:15" x14ac:dyDescent="0.25">
      <c r="A29" t="s">
        <v>35</v>
      </c>
      <c r="B29" t="s">
        <v>34</v>
      </c>
      <c r="C29">
        <v>13</v>
      </c>
      <c r="D29">
        <v>0</v>
      </c>
      <c r="E29">
        <v>0</v>
      </c>
      <c r="F29">
        <v>13</v>
      </c>
      <c r="G29">
        <v>0</v>
      </c>
      <c r="H29">
        <v>0</v>
      </c>
      <c r="I29">
        <v>0</v>
      </c>
      <c r="J29">
        <v>6017.18</v>
      </c>
      <c r="K29">
        <v>0</v>
      </c>
      <c r="L29">
        <v>6685.77</v>
      </c>
      <c r="M29">
        <v>0</v>
      </c>
      <c r="N29" t="s">
        <v>2</v>
      </c>
      <c r="O29">
        <v>12</v>
      </c>
    </row>
    <row r="30" spans="1:15" x14ac:dyDescent="0.25">
      <c r="A30" t="s">
        <v>36</v>
      </c>
      <c r="B30" t="s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 t="s">
        <v>2</v>
      </c>
      <c r="O30">
        <v>18</v>
      </c>
    </row>
    <row r="31" spans="1:15" x14ac:dyDescent="0.25">
      <c r="A31" t="s">
        <v>37</v>
      </c>
      <c r="B31" t="s">
        <v>11</v>
      </c>
      <c r="C31">
        <v>20</v>
      </c>
      <c r="D31">
        <v>0</v>
      </c>
      <c r="E31">
        <v>0</v>
      </c>
      <c r="F31">
        <v>0</v>
      </c>
      <c r="G31">
        <v>0</v>
      </c>
      <c r="H31">
        <v>0</v>
      </c>
      <c r="I31">
        <v>20</v>
      </c>
      <c r="J31">
        <v>1735.8</v>
      </c>
      <c r="K31">
        <v>0</v>
      </c>
      <c r="L31">
        <v>0</v>
      </c>
      <c r="M31">
        <v>1735.8</v>
      </c>
      <c r="N31" t="s">
        <v>2</v>
      </c>
      <c r="O31">
        <v>12</v>
      </c>
    </row>
    <row r="32" spans="1:15" x14ac:dyDescent="0.25">
      <c r="A32" t="s">
        <v>38</v>
      </c>
      <c r="B32" t="s">
        <v>26</v>
      </c>
      <c r="C32">
        <v>16</v>
      </c>
      <c r="D32">
        <v>11</v>
      </c>
      <c r="E32">
        <v>0</v>
      </c>
      <c r="F32">
        <v>15</v>
      </c>
      <c r="G32">
        <v>0</v>
      </c>
      <c r="H32">
        <v>0</v>
      </c>
      <c r="I32">
        <v>12</v>
      </c>
      <c r="J32">
        <v>966.56</v>
      </c>
      <c r="K32">
        <v>604.1</v>
      </c>
      <c r="L32">
        <v>1006.65</v>
      </c>
      <c r="M32">
        <v>724.92</v>
      </c>
      <c r="N32" t="s">
        <v>39</v>
      </c>
      <c r="O32">
        <v>18</v>
      </c>
    </row>
    <row r="33" spans="1:15" x14ac:dyDescent="0.25">
      <c r="A33" t="s">
        <v>40</v>
      </c>
      <c r="B33" t="s">
        <v>41</v>
      </c>
      <c r="C33">
        <v>8</v>
      </c>
      <c r="D33">
        <v>34</v>
      </c>
      <c r="E33">
        <v>0</v>
      </c>
      <c r="F33">
        <v>2</v>
      </c>
      <c r="G33">
        <v>0</v>
      </c>
      <c r="H33">
        <v>0</v>
      </c>
      <c r="I33">
        <v>40</v>
      </c>
      <c r="J33">
        <v>1018.24</v>
      </c>
      <c r="K33">
        <v>3818.4</v>
      </c>
      <c r="L33">
        <v>282.86</v>
      </c>
      <c r="M33">
        <v>5091.2</v>
      </c>
      <c r="N33" t="s">
        <v>2</v>
      </c>
      <c r="O33">
        <v>12</v>
      </c>
    </row>
    <row r="34" spans="1:15" x14ac:dyDescent="0.25">
      <c r="A34" t="s">
        <v>42</v>
      </c>
      <c r="B34" t="s">
        <v>11</v>
      </c>
      <c r="C34">
        <v>67</v>
      </c>
      <c r="D34">
        <v>0</v>
      </c>
      <c r="E34">
        <v>0</v>
      </c>
      <c r="F34">
        <v>1</v>
      </c>
      <c r="G34">
        <v>0</v>
      </c>
      <c r="H34">
        <v>0</v>
      </c>
      <c r="I34">
        <v>66</v>
      </c>
      <c r="J34">
        <v>3311.14</v>
      </c>
      <c r="K34">
        <v>0</v>
      </c>
      <c r="L34">
        <v>54.91</v>
      </c>
      <c r="M34">
        <v>3261.72</v>
      </c>
      <c r="N34" t="s">
        <v>31</v>
      </c>
      <c r="O34">
        <v>18</v>
      </c>
    </row>
    <row r="35" spans="1:15" x14ac:dyDescent="0.25">
      <c r="A35" t="s">
        <v>43</v>
      </c>
      <c r="B35" t="s">
        <v>44</v>
      </c>
      <c r="C35">
        <v>0</v>
      </c>
      <c r="D35">
        <v>76</v>
      </c>
      <c r="E35">
        <v>0</v>
      </c>
      <c r="F35">
        <v>76</v>
      </c>
      <c r="G35">
        <v>0</v>
      </c>
      <c r="H35">
        <v>0</v>
      </c>
      <c r="I35">
        <v>0</v>
      </c>
      <c r="J35">
        <v>0</v>
      </c>
      <c r="K35">
        <v>8237.4</v>
      </c>
      <c r="L35">
        <v>10067.64</v>
      </c>
      <c r="M35">
        <v>0</v>
      </c>
      <c r="N35" t="s">
        <v>45</v>
      </c>
      <c r="O35">
        <v>18</v>
      </c>
    </row>
    <row r="36" spans="1:15" x14ac:dyDescent="0.25">
      <c r="A36" t="s">
        <v>46</v>
      </c>
      <c r="B36" t="s">
        <v>13</v>
      </c>
      <c r="C36">
        <v>57</v>
      </c>
      <c r="D36">
        <v>0</v>
      </c>
      <c r="E36">
        <v>0</v>
      </c>
      <c r="F36">
        <v>32</v>
      </c>
      <c r="G36">
        <v>0</v>
      </c>
      <c r="H36">
        <v>0</v>
      </c>
      <c r="I36">
        <v>25</v>
      </c>
      <c r="J36">
        <v>7255.53</v>
      </c>
      <c r="K36">
        <v>0</v>
      </c>
      <c r="L36">
        <v>4525.4399999999996</v>
      </c>
      <c r="M36">
        <v>3182.25</v>
      </c>
      <c r="N36" t="s">
        <v>2</v>
      </c>
      <c r="O36">
        <v>12</v>
      </c>
    </row>
    <row r="37" spans="1:15" x14ac:dyDescent="0.25">
      <c r="A37" t="s">
        <v>47</v>
      </c>
      <c r="B37" t="s">
        <v>48</v>
      </c>
      <c r="C37">
        <v>15</v>
      </c>
      <c r="D37">
        <v>11</v>
      </c>
      <c r="E37">
        <v>0</v>
      </c>
      <c r="F37">
        <v>11</v>
      </c>
      <c r="G37">
        <v>0</v>
      </c>
      <c r="H37">
        <v>4</v>
      </c>
      <c r="I37">
        <v>11</v>
      </c>
      <c r="J37">
        <v>2059.35</v>
      </c>
      <c r="K37">
        <v>1372.9</v>
      </c>
      <c r="L37">
        <v>1677.94</v>
      </c>
      <c r="M37">
        <v>1510.19</v>
      </c>
      <c r="N37" t="s">
        <v>49</v>
      </c>
      <c r="O37">
        <v>18</v>
      </c>
    </row>
    <row r="38" spans="1:15" x14ac:dyDescent="0.25">
      <c r="A38" t="s">
        <v>50</v>
      </c>
      <c r="B38" t="s">
        <v>34</v>
      </c>
      <c r="C38">
        <v>5</v>
      </c>
      <c r="D38">
        <v>0</v>
      </c>
      <c r="E38">
        <v>0</v>
      </c>
      <c r="F38">
        <v>0</v>
      </c>
      <c r="G38">
        <v>0</v>
      </c>
      <c r="H38">
        <v>0</v>
      </c>
      <c r="I38">
        <v>5</v>
      </c>
      <c r="J38">
        <v>494.25</v>
      </c>
      <c r="K38">
        <v>0</v>
      </c>
      <c r="L38">
        <v>0</v>
      </c>
      <c r="M38">
        <v>494.25</v>
      </c>
      <c r="N38" t="s">
        <v>45</v>
      </c>
      <c r="O38">
        <v>18</v>
      </c>
    </row>
    <row r="39" spans="1:15" x14ac:dyDescent="0.25">
      <c r="A39" t="s">
        <v>51</v>
      </c>
      <c r="B39" t="s">
        <v>52</v>
      </c>
      <c r="C39">
        <v>30</v>
      </c>
      <c r="D39">
        <v>0</v>
      </c>
      <c r="E39">
        <v>0</v>
      </c>
      <c r="F39">
        <v>2</v>
      </c>
      <c r="G39">
        <v>0</v>
      </c>
      <c r="H39">
        <v>0</v>
      </c>
      <c r="I39">
        <v>28</v>
      </c>
      <c r="J39">
        <v>1718.4</v>
      </c>
      <c r="K39">
        <v>0</v>
      </c>
      <c r="L39">
        <v>127.28</v>
      </c>
      <c r="M39">
        <v>1603.84</v>
      </c>
      <c r="N39" t="s">
        <v>2</v>
      </c>
      <c r="O39">
        <v>12</v>
      </c>
    </row>
    <row r="40" spans="1:15" x14ac:dyDescent="0.25">
      <c r="A40" t="s">
        <v>53</v>
      </c>
      <c r="B40" t="s">
        <v>11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 t="s">
        <v>2</v>
      </c>
      <c r="O40">
        <v>12</v>
      </c>
    </row>
    <row r="41" spans="1:15" x14ac:dyDescent="0.25">
      <c r="A41" t="s">
        <v>54</v>
      </c>
      <c r="B41" t="s">
        <v>48</v>
      </c>
      <c r="C41">
        <v>25</v>
      </c>
      <c r="D41">
        <v>0</v>
      </c>
      <c r="E41">
        <v>0</v>
      </c>
      <c r="F41">
        <v>16</v>
      </c>
      <c r="G41">
        <v>0</v>
      </c>
      <c r="H41">
        <v>0</v>
      </c>
      <c r="I41">
        <v>9</v>
      </c>
      <c r="J41">
        <v>2169.75</v>
      </c>
      <c r="K41">
        <v>0</v>
      </c>
      <c r="L41">
        <v>1542.72</v>
      </c>
      <c r="M41">
        <v>781.11</v>
      </c>
      <c r="N41" t="s">
        <v>2</v>
      </c>
      <c r="O41">
        <v>12</v>
      </c>
    </row>
    <row r="42" spans="1:15" x14ac:dyDescent="0.25">
      <c r="A42" t="s">
        <v>55</v>
      </c>
      <c r="B42" t="s">
        <v>22</v>
      </c>
      <c r="C42">
        <v>4</v>
      </c>
      <c r="D42">
        <v>22</v>
      </c>
      <c r="E42">
        <v>0</v>
      </c>
      <c r="F42">
        <v>1</v>
      </c>
      <c r="G42">
        <v>0</v>
      </c>
      <c r="H42">
        <v>0</v>
      </c>
      <c r="I42">
        <v>25</v>
      </c>
      <c r="J42">
        <v>351.44</v>
      </c>
      <c r="K42">
        <v>1757.2</v>
      </c>
      <c r="L42">
        <v>122.03</v>
      </c>
      <c r="M42">
        <v>2196.5</v>
      </c>
      <c r="N42" t="s">
        <v>2</v>
      </c>
      <c r="O42">
        <v>18</v>
      </c>
    </row>
    <row r="43" spans="1:15" x14ac:dyDescent="0.25">
      <c r="A43" t="s">
        <v>56</v>
      </c>
      <c r="B43" t="s">
        <v>41</v>
      </c>
      <c r="C43">
        <v>10</v>
      </c>
      <c r="D43">
        <v>0</v>
      </c>
      <c r="E43">
        <v>0</v>
      </c>
      <c r="F43">
        <v>6</v>
      </c>
      <c r="G43">
        <v>0</v>
      </c>
      <c r="H43">
        <v>0</v>
      </c>
      <c r="I43">
        <v>4</v>
      </c>
      <c r="J43">
        <v>1812.2</v>
      </c>
      <c r="K43">
        <v>0</v>
      </c>
      <c r="L43">
        <v>1208.0999999999999</v>
      </c>
      <c r="M43">
        <v>724.88</v>
      </c>
      <c r="N43" t="s">
        <v>2</v>
      </c>
      <c r="O43">
        <v>18</v>
      </c>
    </row>
    <row r="44" spans="1:15" x14ac:dyDescent="0.25">
      <c r="A44" t="s">
        <v>57</v>
      </c>
      <c r="B44" t="s">
        <v>17</v>
      </c>
      <c r="C44">
        <v>16</v>
      </c>
      <c r="D44">
        <v>32</v>
      </c>
      <c r="E44">
        <v>0</v>
      </c>
      <c r="F44">
        <v>23</v>
      </c>
      <c r="G44">
        <v>0</v>
      </c>
      <c r="H44">
        <v>0</v>
      </c>
      <c r="I44">
        <v>25</v>
      </c>
      <c r="J44">
        <v>4393.28</v>
      </c>
      <c r="K44">
        <v>8237.4</v>
      </c>
      <c r="L44">
        <v>6711.76</v>
      </c>
      <c r="M44">
        <v>6864.5</v>
      </c>
      <c r="N44" t="s">
        <v>45</v>
      </c>
      <c r="O44">
        <v>18</v>
      </c>
    </row>
    <row r="45" spans="1:15" x14ac:dyDescent="0.25">
      <c r="A45" t="s">
        <v>58</v>
      </c>
      <c r="B45" t="s">
        <v>59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 t="s">
        <v>2</v>
      </c>
      <c r="O45">
        <v>12</v>
      </c>
    </row>
    <row r="46" spans="1:15" x14ac:dyDescent="0.25">
      <c r="A46" t="s">
        <v>60</v>
      </c>
      <c r="B46" t="s">
        <v>61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 t="s">
        <v>2</v>
      </c>
      <c r="O46">
        <v>12</v>
      </c>
    </row>
    <row r="47" spans="1:15" x14ac:dyDescent="0.25">
      <c r="A47" t="s">
        <v>62</v>
      </c>
      <c r="B47" t="s">
        <v>17</v>
      </c>
      <c r="C47">
        <v>10</v>
      </c>
      <c r="D47">
        <v>70</v>
      </c>
      <c r="E47">
        <v>0</v>
      </c>
      <c r="F47">
        <v>11</v>
      </c>
      <c r="G47">
        <v>0</v>
      </c>
      <c r="H47">
        <v>0</v>
      </c>
      <c r="I47">
        <v>69</v>
      </c>
      <c r="J47">
        <v>1446.4</v>
      </c>
      <c r="K47">
        <v>8678.4</v>
      </c>
      <c r="L47">
        <v>1767.85</v>
      </c>
      <c r="M47">
        <v>9980.16</v>
      </c>
      <c r="N47" t="s">
        <v>2</v>
      </c>
      <c r="O47">
        <v>12</v>
      </c>
    </row>
    <row r="48" spans="1:15" x14ac:dyDescent="0.25">
      <c r="A48" t="s">
        <v>63</v>
      </c>
      <c r="B48" t="s">
        <v>63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 t="s">
        <v>63</v>
      </c>
      <c r="O48">
        <v>0</v>
      </c>
    </row>
    <row r="49" spans="1:15" x14ac:dyDescent="0.25">
      <c r="A49" t="s">
        <v>63</v>
      </c>
      <c r="B49" t="s">
        <v>63</v>
      </c>
      <c r="C49">
        <v>695</v>
      </c>
      <c r="D49">
        <v>470</v>
      </c>
      <c r="E49">
        <v>1</v>
      </c>
      <c r="F49">
        <v>404</v>
      </c>
      <c r="G49">
        <v>0</v>
      </c>
      <c r="H49">
        <v>24</v>
      </c>
      <c r="I49">
        <v>738</v>
      </c>
      <c r="J49">
        <v>83098.44</v>
      </c>
      <c r="K49">
        <v>46429.25</v>
      </c>
      <c r="L49">
        <v>57569.14</v>
      </c>
      <c r="M49">
        <v>80865.59</v>
      </c>
      <c r="N49" t="s">
        <v>63</v>
      </c>
      <c r="O49">
        <v>0</v>
      </c>
    </row>
    <row r="50" spans="1:15" x14ac:dyDescent="0.25">
      <c r="A50" t="s">
        <v>64</v>
      </c>
      <c r="B50" t="s">
        <v>63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 t="s">
        <v>63</v>
      </c>
      <c r="O50">
        <v>0</v>
      </c>
    </row>
    <row r="51" spans="1:15" x14ac:dyDescent="0.25">
      <c r="A51" t="s">
        <v>63</v>
      </c>
      <c r="B51" t="s">
        <v>63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 t="s">
        <v>63</v>
      </c>
      <c r="O51">
        <v>0</v>
      </c>
    </row>
    <row r="52" spans="1:15" x14ac:dyDescent="0.25">
      <c r="A52" t="s">
        <v>65</v>
      </c>
      <c r="B52" t="s">
        <v>63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 t="s">
        <v>63</v>
      </c>
      <c r="O52">
        <v>0</v>
      </c>
    </row>
    <row r="53" spans="1:15" x14ac:dyDescent="0.25">
      <c r="A53" t="s">
        <v>66</v>
      </c>
      <c r="B53" t="s">
        <v>63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 t="s">
        <v>63</v>
      </c>
      <c r="O53">
        <v>0</v>
      </c>
    </row>
    <row r="54" spans="1:15" x14ac:dyDescent="0.25">
      <c r="A54" t="s">
        <v>67</v>
      </c>
      <c r="B54" t="s">
        <v>63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 t="s">
        <v>63</v>
      </c>
      <c r="O54">
        <v>0</v>
      </c>
    </row>
    <row r="55" spans="1:15" x14ac:dyDescent="0.25">
      <c r="A55" t="s">
        <v>68</v>
      </c>
      <c r="B55" t="s">
        <v>63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 t="s">
        <v>63</v>
      </c>
      <c r="O55">
        <v>0</v>
      </c>
    </row>
    <row r="56" spans="1:15" x14ac:dyDescent="0.25">
      <c r="A56" t="s">
        <v>69</v>
      </c>
      <c r="B56" t="s">
        <v>63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 t="s">
        <v>63</v>
      </c>
      <c r="O56">
        <v>0</v>
      </c>
    </row>
    <row r="57" spans="1:15" x14ac:dyDescent="0.25">
      <c r="A57" t="s">
        <v>70</v>
      </c>
      <c r="B57" t="s">
        <v>63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 t="s">
        <v>63</v>
      </c>
      <c r="O57">
        <v>0</v>
      </c>
    </row>
    <row r="58" spans="1:15" x14ac:dyDescent="0.25">
      <c r="A58" t="s">
        <v>71</v>
      </c>
      <c r="B58" t="s">
        <v>63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 t="s">
        <v>63</v>
      </c>
      <c r="O58">
        <v>0</v>
      </c>
    </row>
    <row r="59" spans="1:15" x14ac:dyDescent="0.25">
      <c r="A59" t="s">
        <v>72</v>
      </c>
      <c r="B59" t="s">
        <v>63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 t="s">
        <v>63</v>
      </c>
      <c r="O59">
        <v>0</v>
      </c>
    </row>
    <row r="60" spans="1:15" x14ac:dyDescent="0.25">
      <c r="A60" t="s">
        <v>63</v>
      </c>
      <c r="B60" t="s">
        <v>63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 t="s">
        <v>63</v>
      </c>
      <c r="O60">
        <v>0</v>
      </c>
    </row>
    <row r="63" spans="1:15" x14ac:dyDescent="0.25">
      <c r="A63" s="2" t="s">
        <v>79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5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x14ac:dyDescent="0.25">
      <c r="A65" s="1" t="s">
        <v>80</v>
      </c>
      <c r="B65" s="1" t="s">
        <v>81</v>
      </c>
      <c r="C65" s="1" t="s">
        <v>82</v>
      </c>
      <c r="D65" s="1" t="s">
        <v>83</v>
      </c>
      <c r="E65" s="1" t="s">
        <v>84</v>
      </c>
      <c r="F65" s="1" t="s">
        <v>85</v>
      </c>
      <c r="G65" s="1" t="s">
        <v>86</v>
      </c>
      <c r="H65" s="1" t="s">
        <v>87</v>
      </c>
      <c r="I65" s="1" t="s">
        <v>88</v>
      </c>
      <c r="J65" s="1" t="s">
        <v>89</v>
      </c>
      <c r="K65" s="1" t="s">
        <v>90</v>
      </c>
      <c r="L65" s="1" t="s">
        <v>91</v>
      </c>
      <c r="M65" s="1" t="s">
        <v>92</v>
      </c>
    </row>
    <row r="66" spans="1:13" x14ac:dyDescent="0.25">
      <c r="A66">
        <v>1</v>
      </c>
      <c r="B66">
        <v>2519</v>
      </c>
      <c r="C66" t="s">
        <v>93</v>
      </c>
      <c r="D66" s="4">
        <v>45053</v>
      </c>
      <c r="E66" t="s">
        <v>94</v>
      </c>
      <c r="F66" t="s">
        <v>95</v>
      </c>
      <c r="G66" t="s">
        <v>96</v>
      </c>
      <c r="H66">
        <v>936</v>
      </c>
      <c r="I66">
        <v>936</v>
      </c>
      <c r="J66">
        <v>0</v>
      </c>
      <c r="K66">
        <v>57</v>
      </c>
      <c r="L66">
        <v>35.08</v>
      </c>
      <c r="M66" t="s">
        <v>97</v>
      </c>
    </row>
    <row r="67" spans="1:13" x14ac:dyDescent="0.25">
      <c r="A67">
        <v>2</v>
      </c>
      <c r="B67">
        <v>2626</v>
      </c>
      <c r="C67" t="s">
        <v>93</v>
      </c>
      <c r="D67" s="4">
        <v>45206</v>
      </c>
      <c r="E67" t="s">
        <v>94</v>
      </c>
      <c r="F67" t="s">
        <v>95</v>
      </c>
      <c r="G67" t="s">
        <v>96</v>
      </c>
      <c r="H67">
        <v>20246</v>
      </c>
      <c r="I67">
        <v>20246</v>
      </c>
      <c r="J67">
        <v>0</v>
      </c>
      <c r="K67">
        <v>52</v>
      </c>
      <c r="L67">
        <v>692.25</v>
      </c>
      <c r="M67" t="s">
        <v>97</v>
      </c>
    </row>
    <row r="68" spans="1:13" x14ac:dyDescent="0.25">
      <c r="A68">
        <v>3</v>
      </c>
      <c r="B68">
        <v>2877</v>
      </c>
      <c r="C68" t="s">
        <v>93</v>
      </c>
      <c r="D68" t="s">
        <v>98</v>
      </c>
      <c r="E68" t="s">
        <v>99</v>
      </c>
      <c r="F68" t="s">
        <v>100</v>
      </c>
      <c r="G68" t="s">
        <v>101</v>
      </c>
      <c r="H68">
        <v>9000</v>
      </c>
      <c r="I68">
        <v>9000</v>
      </c>
      <c r="J68">
        <v>0</v>
      </c>
      <c r="K68">
        <v>41</v>
      </c>
      <c r="L68">
        <v>242.63</v>
      </c>
      <c r="M68" t="s">
        <v>97</v>
      </c>
    </row>
    <row r="69" spans="1:13" x14ac:dyDescent="0.25">
      <c r="A69">
        <v>4</v>
      </c>
      <c r="B69">
        <v>3492</v>
      </c>
      <c r="C69" t="s">
        <v>93</v>
      </c>
      <c r="D69" t="s">
        <v>102</v>
      </c>
      <c r="E69" t="s">
        <v>103</v>
      </c>
      <c r="F69" t="s">
        <v>104</v>
      </c>
      <c r="G69" t="s">
        <v>105</v>
      </c>
      <c r="H69">
        <v>10512</v>
      </c>
      <c r="I69">
        <v>10512</v>
      </c>
      <c r="J69">
        <v>0</v>
      </c>
      <c r="K69">
        <v>13</v>
      </c>
      <c r="L69">
        <v>89.86</v>
      </c>
      <c r="M69" t="s">
        <v>97</v>
      </c>
    </row>
  </sheetData>
  <mergeCells count="8">
    <mergeCell ref="A6:O6"/>
    <mergeCell ref="A63:M63"/>
    <mergeCell ref="A64:M64"/>
    <mergeCell ref="A1:O1"/>
    <mergeCell ref="A2:O2"/>
    <mergeCell ref="A3:O3"/>
    <mergeCell ref="A4:O4"/>
    <mergeCell ref="A5:O5"/>
  </mergeCells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BIOS LAB PVT LTD_AUG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SERVER</cp:lastModifiedBy>
  <dcterms:created xsi:type="dcterms:W3CDTF">2023-08-31T07:55:05Z</dcterms:created>
  <dcterms:modified xsi:type="dcterms:W3CDTF">2023-08-31T07:55:06Z</dcterms:modified>
</cp:coreProperties>
</file>